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rivoshapkin.ai\Desktop\Разработка программ\Ведомость дорог\data\"/>
    </mc:Choice>
  </mc:AlternateContent>
  <bookViews>
    <workbookView xWindow="0" yWindow="0" windowWidth="38400" windowHeight="16425" tabRatio="706" activeTab="1"/>
  </bookViews>
  <sheets>
    <sheet name="Лист1" sheetId="1" r:id="rId1"/>
    <sheet name="ИД" sheetId="281" r:id="rId2"/>
    <sheet name="В обсл" sheetId="444" r:id="rId3"/>
    <sheet name="аб1" sheetId="90" r:id="rId4"/>
  </sheets>
  <definedNames>
    <definedName name="_Hlk26540438" localSheetId="1">ИД!#REF!</definedName>
    <definedName name="_xlnm._FilterDatabase" localSheetId="2" hidden="1">'В обсл'!$A$1:$G$29</definedName>
    <definedName name="_xlnm._FilterDatabase" localSheetId="1" hidden="1">ИД!$A$1:$P$27</definedName>
  </definedNames>
  <calcPr calcId="162913"/>
</workbook>
</file>

<file path=xl/calcChain.xml><?xml version="1.0" encoding="utf-8"?>
<calcChain xmlns="http://schemas.openxmlformats.org/spreadsheetml/2006/main">
  <c r="C13" i="90" l="1"/>
  <c r="B1" i="90" l="1"/>
  <c r="B9" i="90" s="1"/>
  <c r="Z1" i="281"/>
  <c r="B7" i="90" l="1"/>
  <c r="B6" i="90"/>
  <c r="N2" i="90"/>
  <c r="B5" i="90"/>
  <c r="E3" i="90"/>
  <c r="B4" i="90"/>
  <c r="D6" i="90"/>
  <c r="D7" i="90"/>
  <c r="C1" i="90"/>
  <c r="K5" i="90"/>
  <c r="U12" i="90" l="1"/>
  <c r="U13" i="90"/>
  <c r="U14" i="90"/>
  <c r="U15" i="90"/>
  <c r="U16" i="90"/>
  <c r="U17" i="90"/>
  <c r="U18" i="90"/>
  <c r="U19" i="90"/>
  <c r="U20" i="90"/>
  <c r="U21" i="90"/>
  <c r="U22" i="90"/>
  <c r="U23" i="90"/>
  <c r="U24" i="90"/>
  <c r="U25" i="90"/>
  <c r="O1" i="90" l="1"/>
  <c r="C25" i="90"/>
  <c r="N25" i="90"/>
  <c r="O25" i="90"/>
  <c r="P25" i="90"/>
  <c r="Q25" i="90"/>
  <c r="R25" i="90"/>
  <c r="S25" i="90"/>
  <c r="T25" i="90"/>
  <c r="V25" i="90"/>
  <c r="W25" i="90"/>
  <c r="X25" i="90"/>
  <c r="Y25" i="90"/>
  <c r="Z25" i="90"/>
  <c r="AA25" i="90"/>
  <c r="AB25" i="90"/>
  <c r="AC25" i="90"/>
  <c r="AU25" i="90"/>
  <c r="AV25" i="90"/>
  <c r="C24" i="90"/>
  <c r="N24" i="90"/>
  <c r="O24" i="90"/>
  <c r="P24" i="90"/>
  <c r="Q24" i="90"/>
  <c r="R24" i="90"/>
  <c r="S24" i="90"/>
  <c r="T24" i="90"/>
  <c r="V24" i="90"/>
  <c r="W24" i="90"/>
  <c r="X24" i="90"/>
  <c r="Y24" i="90"/>
  <c r="Z24" i="90"/>
  <c r="AA24" i="90"/>
  <c r="AB24" i="90"/>
  <c r="AC24" i="90"/>
  <c r="AU24" i="90"/>
  <c r="AV24" i="90"/>
  <c r="C23" i="90"/>
  <c r="N23" i="90"/>
  <c r="O23" i="90"/>
  <c r="P23" i="90"/>
  <c r="Q23" i="90"/>
  <c r="R23" i="90"/>
  <c r="S23" i="90"/>
  <c r="T23" i="90"/>
  <c r="V23" i="90"/>
  <c r="W23" i="90"/>
  <c r="X23" i="90"/>
  <c r="Y23" i="90"/>
  <c r="Z23" i="90"/>
  <c r="AA23" i="90"/>
  <c r="AB23" i="90"/>
  <c r="AC23" i="90"/>
  <c r="AU23" i="90"/>
  <c r="AV23" i="90"/>
  <c r="C22" i="90"/>
  <c r="N22" i="90"/>
  <c r="O22" i="90"/>
  <c r="P22" i="90"/>
  <c r="Q22" i="90"/>
  <c r="R22" i="90"/>
  <c r="S22" i="90"/>
  <c r="T22" i="90"/>
  <c r="V22" i="90"/>
  <c r="W22" i="90"/>
  <c r="X22" i="90"/>
  <c r="Y22" i="90"/>
  <c r="Z22" i="90"/>
  <c r="AA22" i="90"/>
  <c r="AB22" i="90"/>
  <c r="AC22" i="90"/>
  <c r="AU22" i="90"/>
  <c r="AV22" i="90"/>
  <c r="C21" i="90"/>
  <c r="N21" i="90"/>
  <c r="O21" i="90"/>
  <c r="P21" i="90"/>
  <c r="Q21" i="90"/>
  <c r="R21" i="90"/>
  <c r="S21" i="90"/>
  <c r="T21" i="90"/>
  <c r="V21" i="90"/>
  <c r="W21" i="90"/>
  <c r="X21" i="90"/>
  <c r="Y21" i="90"/>
  <c r="Z21" i="90"/>
  <c r="AA21" i="90"/>
  <c r="AB21" i="90"/>
  <c r="AC21" i="90"/>
  <c r="AU21" i="90"/>
  <c r="AV21" i="90"/>
  <c r="AU18" i="90"/>
  <c r="AV18" i="90"/>
  <c r="AU19" i="90"/>
  <c r="AV19" i="90"/>
  <c r="AU20" i="90"/>
  <c r="AV20" i="90"/>
  <c r="AN22" i="90" l="1"/>
  <c r="AO22" i="90" s="1"/>
  <c r="AN24" i="90"/>
  <c r="AO24" i="90" s="1"/>
  <c r="AN23" i="90"/>
  <c r="AO23" i="90" s="1"/>
  <c r="AN21" i="90"/>
  <c r="AO21" i="90" s="1"/>
  <c r="AN25" i="90"/>
  <c r="AO25" i="90" s="1"/>
  <c r="N3" i="90"/>
  <c r="N4" i="90"/>
  <c r="AP25" i="90"/>
  <c r="BE25" i="90" s="1"/>
  <c r="AP24" i="90"/>
  <c r="AP23" i="90"/>
  <c r="BE23" i="90" s="1"/>
  <c r="AP22" i="90"/>
  <c r="AP21" i="90"/>
  <c r="AW22" i="90" l="1"/>
  <c r="AZ22" i="90" s="1"/>
  <c r="BE22" i="90"/>
  <c r="BA22" i="90" s="1"/>
  <c r="AQ24" i="90"/>
  <c r="BE24" i="90"/>
  <c r="BA24" i="90" s="1"/>
  <c r="AW21" i="90"/>
  <c r="AZ21" i="90" s="1"/>
  <c r="BE21" i="90"/>
  <c r="AW25" i="90"/>
  <c r="AZ25" i="90" s="1"/>
  <c r="AQ25" i="90"/>
  <c r="AW24" i="90"/>
  <c r="AZ24" i="90" s="1"/>
  <c r="AQ23" i="90"/>
  <c r="AW23" i="90"/>
  <c r="AZ23" i="90" s="1"/>
  <c r="AQ22" i="90"/>
  <c r="BA25" i="90"/>
  <c r="BA23" i="90"/>
  <c r="AQ21" i="90"/>
  <c r="BA21" i="90" l="1"/>
  <c r="B2" i="90" l="1"/>
  <c r="C20" i="90" l="1"/>
  <c r="N20" i="90"/>
  <c r="O20" i="90"/>
  <c r="P20" i="90"/>
  <c r="Q20" i="90"/>
  <c r="R20" i="90"/>
  <c r="S20" i="90"/>
  <c r="T20" i="90"/>
  <c r="V20" i="90"/>
  <c r="W20" i="90"/>
  <c r="X20" i="90"/>
  <c r="Y20" i="90"/>
  <c r="Z20" i="90"/>
  <c r="AA20" i="90"/>
  <c r="AB20" i="90"/>
  <c r="AC20" i="90"/>
  <c r="C19" i="90"/>
  <c r="N19" i="90"/>
  <c r="O19" i="90"/>
  <c r="P19" i="90"/>
  <c r="Q19" i="90"/>
  <c r="R19" i="90"/>
  <c r="S19" i="90"/>
  <c r="T19" i="90"/>
  <c r="V19" i="90"/>
  <c r="W19" i="90"/>
  <c r="X19" i="90"/>
  <c r="Y19" i="90"/>
  <c r="Z19" i="90"/>
  <c r="AA19" i="90"/>
  <c r="AB19" i="90"/>
  <c r="AC19" i="90"/>
  <c r="C18" i="90"/>
  <c r="N18" i="90"/>
  <c r="O18" i="90"/>
  <c r="P18" i="90"/>
  <c r="Q18" i="90"/>
  <c r="R18" i="90"/>
  <c r="S18" i="90"/>
  <c r="T18" i="90"/>
  <c r="V18" i="90"/>
  <c r="W18" i="90"/>
  <c r="X18" i="90"/>
  <c r="Y18" i="90"/>
  <c r="Z18" i="90"/>
  <c r="AA18" i="90"/>
  <c r="AB18" i="90"/>
  <c r="AC18" i="90"/>
  <c r="AN18" i="90" l="1"/>
  <c r="AO18" i="90" s="1"/>
  <c r="AN19" i="90"/>
  <c r="AO19" i="90" s="1"/>
  <c r="AN20" i="90"/>
  <c r="AO20" i="90" s="1"/>
  <c r="AP20" i="90"/>
  <c r="AP19" i="90"/>
  <c r="BE19" i="90" s="1"/>
  <c r="AP18" i="90"/>
  <c r="BE18" i="90" s="1"/>
  <c r="C17" i="90"/>
  <c r="N17" i="90"/>
  <c r="O17" i="90"/>
  <c r="P17" i="90"/>
  <c r="Q17" i="90"/>
  <c r="R17" i="90"/>
  <c r="S17" i="90"/>
  <c r="T17" i="90"/>
  <c r="V17" i="90"/>
  <c r="W17" i="90"/>
  <c r="X17" i="90"/>
  <c r="Y17" i="90"/>
  <c r="Z17" i="90"/>
  <c r="AA17" i="90"/>
  <c r="AB17" i="90"/>
  <c r="AC17" i="90"/>
  <c r="AU17" i="90"/>
  <c r="AV17" i="90"/>
  <c r="C16" i="90"/>
  <c r="N16" i="90"/>
  <c r="O16" i="90"/>
  <c r="P16" i="90"/>
  <c r="Q16" i="90"/>
  <c r="R16" i="90"/>
  <c r="S16" i="90"/>
  <c r="T16" i="90"/>
  <c r="V16" i="90"/>
  <c r="W16" i="90"/>
  <c r="X16" i="90"/>
  <c r="Y16" i="90"/>
  <c r="Z16" i="90"/>
  <c r="AA16" i="90"/>
  <c r="AB16" i="90"/>
  <c r="AC16" i="90"/>
  <c r="AU16" i="90"/>
  <c r="AV16" i="90"/>
  <c r="C15" i="90"/>
  <c r="N15" i="90"/>
  <c r="O15" i="90"/>
  <c r="P15" i="90"/>
  <c r="Q15" i="90"/>
  <c r="R15" i="90"/>
  <c r="S15" i="90"/>
  <c r="T15" i="90"/>
  <c r="V15" i="90"/>
  <c r="W15" i="90"/>
  <c r="X15" i="90"/>
  <c r="Y15" i="90"/>
  <c r="Z15" i="90"/>
  <c r="AA15" i="90"/>
  <c r="AB15" i="90"/>
  <c r="AC15" i="90"/>
  <c r="AU15" i="90"/>
  <c r="AV15" i="90"/>
  <c r="AE11" i="90"/>
  <c r="AD12" i="90" s="1"/>
  <c r="AN16" i="90" l="1"/>
  <c r="AO16" i="90" s="1"/>
  <c r="AN15" i="90"/>
  <c r="AO15" i="90" s="1"/>
  <c r="AN17" i="90"/>
  <c r="AO17" i="90" s="1"/>
  <c r="AW20" i="90"/>
  <c r="AZ20" i="90" s="1"/>
  <c r="BE20" i="90"/>
  <c r="BA20" i="90" s="1"/>
  <c r="AQ20" i="90"/>
  <c r="AQ18" i="90"/>
  <c r="AW18" i="90"/>
  <c r="AZ18" i="90" s="1"/>
  <c r="AQ19" i="90"/>
  <c r="AW19" i="90"/>
  <c r="AZ19" i="90" s="1"/>
  <c r="BA18" i="90"/>
  <c r="BA19" i="90"/>
  <c r="AP16" i="90"/>
  <c r="BE16" i="90" s="1"/>
  <c r="AP17" i="90"/>
  <c r="AP15" i="90"/>
  <c r="BE15" i="90" s="1"/>
  <c r="AW17" i="90" l="1"/>
  <c r="AZ17" i="90" s="1"/>
  <c r="BE17" i="90"/>
  <c r="BA17" i="90" s="1"/>
  <c r="AQ16" i="90"/>
  <c r="AW16" i="90"/>
  <c r="AZ16" i="90" s="1"/>
  <c r="AQ17" i="90"/>
  <c r="AW15" i="90"/>
  <c r="AZ15" i="90" s="1"/>
  <c r="AQ15" i="90"/>
  <c r="BA16" i="90"/>
  <c r="BA15" i="90"/>
  <c r="O6" i="90" l="1"/>
  <c r="O5" i="90"/>
  <c r="O2" i="90"/>
  <c r="O7" i="90"/>
  <c r="AM6" i="90" l="1"/>
  <c r="AV14" i="90"/>
  <c r="AU14" i="90"/>
  <c r="AC14" i="90"/>
  <c r="AB14" i="90"/>
  <c r="AA14" i="90"/>
  <c r="Z14" i="90"/>
  <c r="Y14" i="90"/>
  <c r="X14" i="90"/>
  <c r="W14" i="90"/>
  <c r="V14" i="90"/>
  <c r="T14" i="90"/>
  <c r="S14" i="90"/>
  <c r="R14" i="90"/>
  <c r="Q14" i="90"/>
  <c r="P14" i="90"/>
  <c r="O14" i="90"/>
  <c r="N14" i="90"/>
  <c r="C14" i="90"/>
  <c r="AV13" i="90"/>
  <c r="AU13" i="90"/>
  <c r="AC13" i="90"/>
  <c r="AB13" i="90"/>
  <c r="AA13" i="90"/>
  <c r="Z13" i="90"/>
  <c r="Y13" i="90"/>
  <c r="X13" i="90"/>
  <c r="W13" i="90"/>
  <c r="V13" i="90"/>
  <c r="T13" i="90"/>
  <c r="S13" i="90"/>
  <c r="R13" i="90"/>
  <c r="Q13" i="90"/>
  <c r="P13" i="90"/>
  <c r="O13" i="90"/>
  <c r="N13" i="90"/>
  <c r="AV12" i="90"/>
  <c r="AU12" i="90"/>
  <c r="AS12" i="90"/>
  <c r="AC12" i="90"/>
  <c r="AB12" i="90"/>
  <c r="AA12" i="90"/>
  <c r="Z12" i="90"/>
  <c r="Y12" i="90"/>
  <c r="X12" i="90"/>
  <c r="W12" i="90"/>
  <c r="V12" i="90"/>
  <c r="T12" i="90"/>
  <c r="S12" i="90"/>
  <c r="R12" i="90"/>
  <c r="Q12" i="90"/>
  <c r="P12" i="90"/>
  <c r="O12" i="90"/>
  <c r="N12" i="90"/>
  <c r="C12" i="90"/>
  <c r="AE12" i="90" s="1"/>
  <c r="AN12" i="90" l="1"/>
  <c r="AO12" i="90" s="1"/>
  <c r="AN13" i="90"/>
  <c r="AO13" i="90" s="1"/>
  <c r="AN14" i="90"/>
  <c r="AO14" i="90" s="1"/>
  <c r="BF24" i="90"/>
  <c r="BF23" i="90"/>
  <c r="BF25" i="90"/>
  <c r="BF22" i="90"/>
  <c r="BF21" i="90"/>
  <c r="BF20" i="90"/>
  <c r="BF19" i="90"/>
  <c r="BF18" i="90"/>
  <c r="BF15" i="90"/>
  <c r="BF17" i="90"/>
  <c r="BF16" i="90"/>
  <c r="K3" i="90"/>
  <c r="AD13" i="90"/>
  <c r="AE13" i="90" s="1"/>
  <c r="AF12" i="90"/>
  <c r="AG12" i="90" s="1"/>
  <c r="AJ12" i="90" s="1"/>
  <c r="AP14" i="90"/>
  <c r="BE14" i="90" s="1"/>
  <c r="AP12" i="90"/>
  <c r="AP13" i="90"/>
  <c r="AW13" i="90" l="1"/>
  <c r="AZ13" i="90" s="1"/>
  <c r="BE13" i="90"/>
  <c r="BA13" i="90" s="1"/>
  <c r="AW12" i="90"/>
  <c r="AZ12" i="90" s="1"/>
  <c r="BE12" i="90"/>
  <c r="BA12" i="90" s="1"/>
  <c r="AQ14" i="90"/>
  <c r="AQ13" i="90"/>
  <c r="AW14" i="90"/>
  <c r="AZ14" i="90" s="1"/>
  <c r="AQ12" i="90"/>
  <c r="BF14" i="90"/>
  <c r="BA14" i="90"/>
  <c r="AH12" i="90"/>
  <c r="AT12" i="90"/>
  <c r="BF13" i="90" l="1"/>
  <c r="BF12" i="90"/>
  <c r="K2" i="90"/>
  <c r="AF13" i="90"/>
  <c r="AG13" i="90" s="1"/>
  <c r="AJ13" i="90" s="1"/>
  <c r="AS13" i="90"/>
  <c r="AD14" i="90"/>
  <c r="AE14" i="90" s="1"/>
  <c r="AI12" i="90"/>
  <c r="AK12" i="90" s="1"/>
  <c r="AM12" i="90" s="1"/>
  <c r="O3" i="90" l="1"/>
  <c r="K4" i="90"/>
  <c r="BD12" i="90"/>
  <c r="AY12" i="90"/>
  <c r="AH13" i="90"/>
  <c r="AI13" i="90" s="1"/>
  <c r="AK13" i="90" s="1"/>
  <c r="AM13" i="90" s="1"/>
  <c r="AT13" i="90"/>
  <c r="AM2" i="90" l="1"/>
  <c r="BD13" i="90"/>
  <c r="AY13" i="90"/>
  <c r="AF14" i="90"/>
  <c r="AG14" i="90" s="1"/>
  <c r="AJ14" i="90" s="1"/>
  <c r="AS14" i="90"/>
  <c r="AD15" i="90"/>
  <c r="AE15" i="90" s="1"/>
  <c r="AS15" i="90" l="1"/>
  <c r="AF15" i="90"/>
  <c r="AG15" i="90" s="1"/>
  <c r="AJ15" i="90" s="1"/>
  <c r="AD16" i="90"/>
  <c r="AE16" i="90" s="1"/>
  <c r="AH14" i="90"/>
  <c r="AI14" i="90" s="1"/>
  <c r="AK14" i="90" s="1"/>
  <c r="AT14" i="90"/>
  <c r="AT15" i="90" l="1"/>
  <c r="AH15" i="90"/>
  <c r="AI15" i="90" s="1"/>
  <c r="AK15" i="90" s="1"/>
  <c r="AM15" i="90" s="1"/>
  <c r="AM14" i="90"/>
  <c r="AY15" i="90" l="1"/>
  <c r="BD15" i="90"/>
  <c r="AD17" i="90"/>
  <c r="AE17" i="90" s="1"/>
  <c r="AF16" i="90"/>
  <c r="AS16" i="90"/>
  <c r="BD14" i="90"/>
  <c r="AY14" i="90"/>
  <c r="AG16" i="90" l="1"/>
  <c r="AJ16" i="90" s="1"/>
  <c r="AH16" i="90"/>
  <c r="AI16" i="90" s="1"/>
  <c r="AK16" i="90" s="1"/>
  <c r="AT16" i="90"/>
  <c r="AM16" i="90" l="1"/>
  <c r="BD16" i="90" s="1"/>
  <c r="AF17" i="90"/>
  <c r="AS17" i="90"/>
  <c r="AD18" i="90"/>
  <c r="AE18" i="90" s="1"/>
  <c r="AF18" i="90" l="1"/>
  <c r="AG18" i="90" s="1"/>
  <c r="AJ18" i="90" s="1"/>
  <c r="AS18" i="90"/>
  <c r="AD19" i="90"/>
  <c r="AE19" i="90" s="1"/>
  <c r="AY16" i="90"/>
  <c r="AT17" i="90"/>
  <c r="AH17" i="90"/>
  <c r="AI17" i="90" s="1"/>
  <c r="AK17" i="90" s="1"/>
  <c r="AG17" i="90"/>
  <c r="AJ17" i="90" s="1"/>
  <c r="AM17" i="90" l="1"/>
  <c r="BD17" i="90" s="1"/>
  <c r="AH18" i="90"/>
  <c r="AI18" i="90" s="1"/>
  <c r="AK18" i="90" s="1"/>
  <c r="AM18" i="90" s="1"/>
  <c r="AT18" i="90"/>
  <c r="AY17" i="90" l="1"/>
  <c r="AY18" i="90"/>
  <c r="BD18" i="90"/>
  <c r="AS19" i="90"/>
  <c r="AF19" i="90"/>
  <c r="AG19" i="90" s="1"/>
  <c r="AJ19" i="90" s="1"/>
  <c r="AD20" i="90"/>
  <c r="AE20" i="90" s="1"/>
  <c r="AT19" i="90" l="1"/>
  <c r="AH19" i="90"/>
  <c r="AI19" i="90" s="1"/>
  <c r="AK19" i="90" s="1"/>
  <c r="AM19" i="90" s="1"/>
  <c r="AY19" i="90" l="1"/>
  <c r="BD19" i="90"/>
  <c r="AF20" i="90"/>
  <c r="AG20" i="90" s="1"/>
  <c r="AJ20" i="90" s="1"/>
  <c r="AS20" i="90"/>
  <c r="AD21" i="90"/>
  <c r="AE21" i="90" s="1"/>
  <c r="AD22" i="90" l="1"/>
  <c r="AE22" i="90" s="1"/>
  <c r="AF21" i="90"/>
  <c r="AS21" i="90"/>
  <c r="AH20" i="90"/>
  <c r="AI20" i="90" s="1"/>
  <c r="AK20" i="90" s="1"/>
  <c r="AT20" i="90"/>
  <c r="AS22" i="90" l="1"/>
  <c r="AF22" i="90"/>
  <c r="AD23" i="90"/>
  <c r="AE23" i="90" s="1"/>
  <c r="AG21" i="90"/>
  <c r="AJ21" i="90" s="1"/>
  <c r="AH21" i="90"/>
  <c r="AI21" i="90" s="1"/>
  <c r="AK21" i="90" s="1"/>
  <c r="AT21" i="90"/>
  <c r="AM20" i="90"/>
  <c r="AH22" i="90" l="1"/>
  <c r="AI22" i="90" s="1"/>
  <c r="AK22" i="90" s="1"/>
  <c r="AT22" i="90"/>
  <c r="AG22" i="90"/>
  <c r="AJ22" i="90" s="1"/>
  <c r="AM21" i="90"/>
  <c r="BD21" i="90" s="1"/>
  <c r="BD20" i="90"/>
  <c r="AY20" i="90"/>
  <c r="AM22" i="90" l="1"/>
  <c r="AY22" i="90" s="1"/>
  <c r="AF23" i="90"/>
  <c r="AD24" i="90"/>
  <c r="AE24" i="90" s="1"/>
  <c r="AS23" i="90"/>
  <c r="AY21" i="90"/>
  <c r="BD22" i="90" l="1"/>
  <c r="AG23" i="90"/>
  <c r="AJ23" i="90" s="1"/>
  <c r="AH23" i="90"/>
  <c r="AI23" i="90" s="1"/>
  <c r="AK23" i="90" s="1"/>
  <c r="AT23" i="90"/>
  <c r="AM23" i="90" l="1"/>
  <c r="AY23" i="90" s="1"/>
  <c r="AD25" i="90"/>
  <c r="AE25" i="90" s="1"/>
  <c r="AF24" i="90"/>
  <c r="AG24" i="90" s="1"/>
  <c r="AJ24" i="90" s="1"/>
  <c r="AS24" i="90"/>
  <c r="BD23" i="90" l="1"/>
  <c r="AH24" i="90"/>
  <c r="AI24" i="90" s="1"/>
  <c r="AK24" i="90" s="1"/>
  <c r="AT24" i="90"/>
  <c r="AM24" i="90" l="1"/>
  <c r="AF25" i="90"/>
  <c r="AS25" i="90"/>
  <c r="AT25" i="90" l="1"/>
  <c r="AH25" i="90"/>
  <c r="AI25" i="90" s="1"/>
  <c r="AK25" i="90" s="1"/>
  <c r="AG25" i="90"/>
  <c r="AJ25" i="90" s="1"/>
  <c r="AY24" i="90"/>
  <c r="BD24" i="90"/>
  <c r="AM25" i="90" l="1"/>
  <c r="BD25" i="90" s="1"/>
  <c r="AY25" i="90" l="1"/>
</calcChain>
</file>

<file path=xl/sharedStrings.xml><?xml version="1.0" encoding="utf-8"?>
<sst xmlns="http://schemas.openxmlformats.org/spreadsheetml/2006/main" count="226" uniqueCount="191">
  <si>
    <t>Вид дефекта</t>
  </si>
  <si>
    <r>
      <t xml:space="preserve">Значение показателя </t>
    </r>
    <r>
      <rPr>
        <b/>
        <sz val="16"/>
        <color rgb="FF003366"/>
        <rFont val="Arial"/>
        <family val="2"/>
        <charset val="204"/>
      </rPr>
      <t>ρ</t>
    </r>
    <r>
      <rPr>
        <b/>
        <sz val="12"/>
        <color rgb="FF003366"/>
        <rFont val="Arial"/>
        <family val="2"/>
        <charset val="204"/>
      </rPr>
      <t xml:space="preserve"> при типе дорожных одежд</t>
    </r>
  </si>
  <si>
    <t>Оценка в баллах</t>
  </si>
  <si>
    <t>Усовершен- ствованные капитальные</t>
  </si>
  <si>
    <t>Усовершен- ствованные облегченные</t>
  </si>
  <si>
    <t>Переходные</t>
  </si>
  <si>
    <t xml:space="preserve">без дефектов; </t>
  </si>
  <si>
    <t>без деф</t>
  </si>
  <si>
    <t xml:space="preserve">поперечные одиночные трещины на расстоянии 20-40 м между трещинами; </t>
  </si>
  <si>
    <t>пт2040</t>
  </si>
  <si>
    <t xml:space="preserve">поперечные одиночные трещины на расстоянии 10-20 м; </t>
  </si>
  <si>
    <t>пт1020</t>
  </si>
  <si>
    <t xml:space="preserve">поперечные редкие трещины на расстоянии 8-10 м; </t>
  </si>
  <si>
    <t>пт810</t>
  </si>
  <si>
    <t xml:space="preserve">поперечные редкие трещины на расстоянии 6-8 м; </t>
  </si>
  <si>
    <t>пт68</t>
  </si>
  <si>
    <t xml:space="preserve">поперечные редкие трещины на расстоянии 4-6 м; </t>
  </si>
  <si>
    <t>пт46</t>
  </si>
  <si>
    <t xml:space="preserve">поперечные частые трещины на расстоянии 3-4 м; </t>
  </si>
  <si>
    <t>-</t>
  </si>
  <si>
    <t>пт34</t>
  </si>
  <si>
    <t xml:space="preserve">поперечные частые трещины на расстоянии 2-3 м; </t>
  </si>
  <si>
    <t>пт23</t>
  </si>
  <si>
    <t xml:space="preserve">поперечные частые трещины на расстоянии 1-2 м; </t>
  </si>
  <si>
    <t>пт12</t>
  </si>
  <si>
    <t xml:space="preserve">продольная центральная трещина; </t>
  </si>
  <si>
    <t>по</t>
  </si>
  <si>
    <t xml:space="preserve">продольные боковые трещины; </t>
  </si>
  <si>
    <t>пб</t>
  </si>
  <si>
    <t xml:space="preserve">одиночная сетка трещин на площади до 10 м с крупными ячейками (сторона ячейки более 0,5 м); </t>
  </si>
  <si>
    <t>одкр</t>
  </si>
  <si>
    <t xml:space="preserve">одиночная сетка трещин на площади до 10 м с мелкими ячейками (сторона ячейки менее 0,5 м); </t>
  </si>
  <si>
    <t>одмел</t>
  </si>
  <si>
    <t xml:space="preserve">густая сетка трещин на площади до 10 м; </t>
  </si>
  <si>
    <t>гсет</t>
  </si>
  <si>
    <t xml:space="preserve">сетка трещин на площади более 10м при относительной площади, занимаемой сеткой, 30-10%; </t>
  </si>
  <si>
    <t>мс30</t>
  </si>
  <si>
    <t xml:space="preserve">сетка трещин на площади более 10м при относительной площади, 60-30%; </t>
  </si>
  <si>
    <t>мс60</t>
  </si>
  <si>
    <t xml:space="preserve">сетка трещин на площади более 10м при относительной площади, 90-60%; </t>
  </si>
  <si>
    <t>мс90</t>
  </si>
  <si>
    <t xml:space="preserve">колейность при средней глубине колеи до 10 мм; </t>
  </si>
  <si>
    <t>кол10</t>
  </si>
  <si>
    <t xml:space="preserve">колейность при средней глубине колеи 10-20 мм; </t>
  </si>
  <si>
    <t>кол20</t>
  </si>
  <si>
    <t xml:space="preserve">колейность при средней глубине колеи 20-30 мм; </t>
  </si>
  <si>
    <t>кол30</t>
  </si>
  <si>
    <t xml:space="preserve">колейность при средней глубине колеи 30-40 мм; </t>
  </si>
  <si>
    <t>кол40</t>
  </si>
  <si>
    <t xml:space="preserve">колейность при средней глубине колеи 40-50 мм; </t>
  </si>
  <si>
    <t>кол50</t>
  </si>
  <si>
    <t xml:space="preserve">колейность при средней глубине колеи 50-70 мм; </t>
  </si>
  <si>
    <t>кол70</t>
  </si>
  <si>
    <t xml:space="preserve">колейность при средней глубине колеи более 70 мм; </t>
  </si>
  <si>
    <t>кол80</t>
  </si>
  <si>
    <t xml:space="preserve">просадки (пучины) при относительной площади просадок 20-10%; </t>
  </si>
  <si>
    <t>прос10</t>
  </si>
  <si>
    <t xml:space="preserve">просадки (пучины) при относительной площади просадок 50-20%; </t>
  </si>
  <si>
    <t>прос20</t>
  </si>
  <si>
    <t xml:space="preserve">просадки (пучины) при относительной площади просадок более 50%; </t>
  </si>
  <si>
    <t>прос50</t>
  </si>
  <si>
    <t xml:space="preserve">проломы дорожной одежды (вскрывшиеся пучины) при относительной площади, занимаемой проломами, 10-5%; </t>
  </si>
  <si>
    <t>прол5</t>
  </si>
  <si>
    <t xml:space="preserve">проломы дорожной одежды (вскрывшиеся пучины) при относительной площади, занимаемой проломами, 30-10%; </t>
  </si>
  <si>
    <t>прол10</t>
  </si>
  <si>
    <t xml:space="preserve">проломы дорожной одежды (вскрывшиеся пучины) при относительной площади, занимаемой проломами, более 30%; </t>
  </si>
  <si>
    <t>прол30</t>
  </si>
  <si>
    <t xml:space="preserve">одиночные выбоины на расстоянии более 20 м; </t>
  </si>
  <si>
    <t>одвыб</t>
  </si>
  <si>
    <t xml:space="preserve">отдельные выбоины на расстоянии 10-20 м; </t>
  </si>
  <si>
    <t>отвыб</t>
  </si>
  <si>
    <t xml:space="preserve">редкие выбоины на расстоянии 4-10 м; </t>
  </si>
  <si>
    <t>рвыб</t>
  </si>
  <si>
    <t xml:space="preserve">частые выбоины на расстоянии 1-4 м; </t>
  </si>
  <si>
    <t>чвыб</t>
  </si>
  <si>
    <t xml:space="preserve">карты заделанных выбоин, залитые трещины; </t>
  </si>
  <si>
    <t>кар</t>
  </si>
  <si>
    <t xml:space="preserve">поперечные волны, сдвиги; </t>
  </si>
  <si>
    <t>вол</t>
  </si>
  <si>
    <t>пгс</t>
  </si>
  <si>
    <t>Ширина</t>
  </si>
  <si>
    <t>Покрытие</t>
  </si>
  <si>
    <t>Тип ДО</t>
  </si>
  <si>
    <t>Категория</t>
  </si>
  <si>
    <t>III</t>
  </si>
  <si>
    <t>Бср</t>
  </si>
  <si>
    <t>Прот ПГС; грунт</t>
  </si>
  <si>
    <t>IV</t>
  </si>
  <si>
    <t>фото</t>
  </si>
  <si>
    <t>грунт</t>
  </si>
  <si>
    <t>Протяженность</t>
  </si>
  <si>
    <t>II</t>
  </si>
  <si>
    <t>V</t>
  </si>
  <si>
    <t>I-б</t>
  </si>
  <si>
    <t>Начало, км</t>
  </si>
  <si>
    <t>грул</t>
  </si>
  <si>
    <t>разр аб</t>
  </si>
  <si>
    <t>грунтовая дорога;</t>
  </si>
  <si>
    <t>разрушенный асфальтобетон;</t>
  </si>
  <si>
    <t>песчано-гравийное покрытие;</t>
  </si>
  <si>
    <t>грунтовое улучшенное покрытие;</t>
  </si>
  <si>
    <t>плиты</t>
  </si>
  <si>
    <t>бетонные плиты</t>
  </si>
  <si>
    <t>гр2040</t>
  </si>
  <si>
    <t>гр1020</t>
  </si>
  <si>
    <t>гр810</t>
  </si>
  <si>
    <t>гр68</t>
  </si>
  <si>
    <t>гр46</t>
  </si>
  <si>
    <t>пг68</t>
  </si>
  <si>
    <t>пг810</t>
  </si>
  <si>
    <t>пг2040</t>
  </si>
  <si>
    <t>пг1020</t>
  </si>
  <si>
    <t>пг46</t>
  </si>
  <si>
    <t>щ2040</t>
  </si>
  <si>
    <t>щ1020</t>
  </si>
  <si>
    <t>щ810</t>
  </si>
  <si>
    <t>щ68</t>
  </si>
  <si>
    <t>щ46</t>
  </si>
  <si>
    <t>Кпр</t>
  </si>
  <si>
    <t>Таким образом, в соответствии с результатами камеральной обработки данных, состояние покрытия дороги является допустимым и не требует ремонта. Перед началом использования участка автодороги для доставки грузов ремонтно-восстановительные работы допускается не проводить.</t>
  </si>
  <si>
    <t>Таким образом, в соответствии с результатами камеральной обработки данных, состояние покрытия дороги является удовлетворительным. При значительном увеличении нагрузки на дорожную одежду без проведения ремонтно-восстановительных мероприятий прогнозируется снижение несущей способности до недопустимых значений. Перед пропуском необходимой нагрузки необходимо устранить дефекты проезжей части, а также включить мероприятия по восстановлению вновь образовавшихся дефектов после проезда нагрузки.</t>
  </si>
  <si>
    <t>Таким образом, в соответствии с результатами камеральной обработки данных, состояние покрытия дороги является неудовлетворительным. Существующие дефекты свидетельствуют о снижении несущей способности основания дорожной одежды, а также о риске разрушения дорожной одежды в случае интенсивного движения грузового транспорта. Перед пропуском необходимой нагрузки необходимо устранить дефекты проезжей части, а также предусмотреть частичное переустройство покрытия после проезда нагрузки.</t>
  </si>
  <si>
    <t>Таким образом, в соответствии с результатами камеральной обработки данных, состояние покрытия дороги является недопустимым. Состояние дорожной одежды не позволяет осуществить интенсивное движение грузового транспорта. Для пропуска необходимой нагрузки необходимо выполнение ремонтно-восстановительных мероприятия по частичному переустройству слоев асфальтобетонных покрытий.</t>
  </si>
  <si>
    <t xml:space="preserve">В основу принятия решения о проведении ремонтно-восстановительных мероприятий положены результаты оценки фактических значений параметров и характеристик конструктивных элементов автомобильных дорог с учетом временного изменения состава транспортного потока и интенсивности движения за счет перевозки грузов при строительстве объекта. По результатам обследования участка автодороги значение средневзвешенного балла на участке автодороги составляет </t>
  </si>
  <si>
    <t xml:space="preserve">, средневзвешенного коэффициента прочности – </t>
  </si>
  <si>
    <t xml:space="preserve">. </t>
  </si>
  <si>
    <t>от</t>
  </si>
  <si>
    <t>до</t>
  </si>
  <si>
    <t>№</t>
  </si>
  <si>
    <t>Наименование</t>
  </si>
  <si>
    <t>Фото</t>
  </si>
  <si>
    <t>Принадлежность</t>
  </si>
  <si>
    <t>Используемый участок</t>
  </si>
  <si>
    <t>«»</t>
  </si>
  <si>
    <t>дорога</t>
  </si>
  <si>
    <t>подъезд</t>
  </si>
  <si>
    <t>улица</t>
  </si>
  <si>
    <t>Осевая нагрузка</t>
  </si>
  <si>
    <t xml:space="preserve">косые трещины; </t>
  </si>
  <si>
    <t xml:space="preserve">отдельные выбоины на щебеночном покрытии на расстоянии 20-40 м между выбоинами; </t>
  </si>
  <si>
    <t xml:space="preserve">отдельные выбоины на щебеночном покрытии на расстоянии 10-20 м между выбоинами; </t>
  </si>
  <si>
    <t xml:space="preserve">редкие выбоины на щебеночном покрытии на расстоянии 8-10 м между выбоинами; </t>
  </si>
  <si>
    <t xml:space="preserve">редкие выбоины на щебеночном покрытии на расстоянии 6-8 м между выбоинами; </t>
  </si>
  <si>
    <t xml:space="preserve">редкие выбоины на щебеночном покрытии на расстоянии 4-6 м между выбоинами; </t>
  </si>
  <si>
    <t xml:space="preserve">отдельные выбоины на гравийном покрытии на расстоянии 20-40 м между выбоинами; </t>
  </si>
  <si>
    <t xml:space="preserve">отдельные выбоины на гравийном покрытии на расстоянии 10-20 м между выбоинами; </t>
  </si>
  <si>
    <t xml:space="preserve">редкие выбоины на гравийном покрытии на расстоянии 8-10 м между выбоинами; </t>
  </si>
  <si>
    <t xml:space="preserve">редкие выбоины на гравийном покрытии на расстоянии 6-8 м между выбоинами; </t>
  </si>
  <si>
    <t xml:space="preserve">редкие выбоины на гравийном покрытии на расстоянии 4-6 м между выбоинами; </t>
  </si>
  <si>
    <t xml:space="preserve">отдельные выбоины на песчано-гравийном покрытии на расстоянии 20-40 м между выбоинами; </t>
  </si>
  <si>
    <t xml:space="preserve">отдельные выбоины на песчано-гравийном покрытии на расстоянии 10-20 м между выбоинами; </t>
  </si>
  <si>
    <t xml:space="preserve">редкие выбоины на песчано-гравийном покрытии на расстоянии 8-10 м между выбоинами; </t>
  </si>
  <si>
    <t xml:space="preserve">редкие выбоины на песчано-гравийном покрытии на расстоянии 6-8 м между выбоинами; </t>
  </si>
  <si>
    <t xml:space="preserve">редкие выбоины на песчано-гравийном покрытии на расстоянии 4-6 м между выбоинами; </t>
  </si>
  <si>
    <t>облегченная</t>
  </si>
  <si>
    <t>Широта начало</t>
  </si>
  <si>
    <t>Долгота начало</t>
  </si>
  <si>
    <t>Широта конец</t>
  </si>
  <si>
    <t>Долгота конец</t>
  </si>
  <si>
    <t>Для заметок (свои дефекты, дефекты на плитах итд)</t>
  </si>
  <si>
    <t>Наличие маршрута в книге</t>
  </si>
  <si>
    <t>маршрут есть</t>
  </si>
  <si>
    <t>кос</t>
  </si>
  <si>
    <t>пггр</t>
  </si>
  <si>
    <t>гребенка на песчано-гравийном покрытии;</t>
  </si>
  <si>
    <t>гргр</t>
  </si>
  <si>
    <t>Гребенка на гравийном покрытии;</t>
  </si>
  <si>
    <t xml:space="preserve">залитые поперечные одиночные трещины на расстоянии 20-40 м между трещинами; </t>
  </si>
  <si>
    <t xml:space="preserve">залитые поперечные одиночные трещины на расстоянии 10-20 м; </t>
  </si>
  <si>
    <t xml:space="preserve">залитые поперечные редкие трещины на расстоянии 8-10 м; </t>
  </si>
  <si>
    <t xml:space="preserve">залитые поперечные редкие трещины на расстоянии 6-8 м; </t>
  </si>
  <si>
    <t xml:space="preserve">залитые поперечные редкие трещины на расстоянии 4-6 м; </t>
  </si>
  <si>
    <t xml:space="preserve">залитые поперечные частые трещины на расстоянии 3-4 м; </t>
  </si>
  <si>
    <t xml:space="preserve">залитые поперечные частые трещины на расстоянии 2-3 м; </t>
  </si>
  <si>
    <t xml:space="preserve">залитые поперечные частые трещины на расстоянии 1-2 м; </t>
  </si>
  <si>
    <t xml:space="preserve">залитые продольные боковые трещины; </t>
  </si>
  <si>
    <t>зпб</t>
  </si>
  <si>
    <t>зпт1020</t>
  </si>
  <si>
    <t>зпт810</t>
  </si>
  <si>
    <t>зпт68</t>
  </si>
  <si>
    <t>зпт46</t>
  </si>
  <si>
    <t>зпт34</t>
  </si>
  <si>
    <t>зпт23</t>
  </si>
  <si>
    <t>зпт12</t>
  </si>
  <si>
    <t>зпт2040</t>
  </si>
  <si>
    <t>ям</t>
  </si>
  <si>
    <t>ямочный ремонт;</t>
  </si>
  <si>
    <t>I</t>
  </si>
  <si>
    <t>IV-в</t>
  </si>
  <si>
    <t>ширина</t>
  </si>
  <si>
    <t>покрытие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</si>
</sst>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#########"/>
    <numFmt numFmtId="167" formatCode="0.0000"/>
  </numFmts>
  <fonts count="22" x14ac:knownFonts="1">
    <font>
      <sz val="11"/>
      <color theme="1"/>
      <name val="Calibri"/>
      <family val="2"/>
      <charset val="204"/>
      <scheme val="minor"/>
    </font>
    <font>
      <b/>
      <sz val="12"/>
      <color rgb="FF003366"/>
      <name val="Arial"/>
      <family val="2"/>
      <charset val="204"/>
    </font>
    <font>
      <b/>
      <sz val="16"/>
      <color rgb="FF003366"/>
      <name val="Arial"/>
      <family val="2"/>
      <charset val="204"/>
    </font>
    <font>
      <sz val="13"/>
      <color theme="1"/>
      <name val="Times New Roman"/>
      <family val="1"/>
      <charset val="204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b/>
      <sz val="20"/>
      <color theme="1"/>
      <name val="Calibri"/>
      <family val="2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13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E6F0FF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3" tint="0.59999389629810485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20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vertical="center" wrapText="1"/>
    </xf>
    <xf numFmtId="0" fontId="1" fillId="10" borderId="7" xfId="0" applyFont="1" applyFill="1" applyBorder="1" applyAlignment="1">
      <alignment horizontal="center" vertical="center" wrapText="1"/>
    </xf>
    <xf numFmtId="2" fontId="0" fillId="0" borderId="0" xfId="0" applyNumberFormat="1"/>
    <xf numFmtId="0" fontId="1" fillId="11" borderId="16" xfId="0" applyFont="1" applyFill="1" applyBorder="1" applyAlignment="1">
      <alignment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vertical="center" wrapText="1"/>
    </xf>
    <xf numFmtId="0" fontId="1" fillId="10" borderId="16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Protection="1">
      <protection locked="0"/>
    </xf>
    <xf numFmtId="0" fontId="3" fillId="13" borderId="8" xfId="0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 applyProtection="1">
      <alignment vertical="center"/>
      <protection locked="0"/>
    </xf>
    <xf numFmtId="0" fontId="3" fillId="15" borderId="8" xfId="0" applyFont="1" applyFill="1" applyBorder="1" applyAlignment="1" applyProtection="1">
      <alignment vertical="center" wrapText="1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1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65" fontId="3" fillId="0" borderId="0" xfId="0" applyNumberFormat="1" applyFont="1" applyAlignment="1" applyProtection="1">
      <alignment horizontal="center" vertical="center"/>
      <protection locked="0"/>
    </xf>
    <xf numFmtId="164" fontId="3" fillId="14" borderId="8" xfId="0" applyNumberFormat="1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14" borderId="0" xfId="0" applyFill="1" applyAlignment="1" applyProtection="1">
      <alignment horizontal="center" vertical="center"/>
    </xf>
    <xf numFmtId="0" fontId="4" fillId="13" borderId="8" xfId="0" applyFont="1" applyFill="1" applyBorder="1" applyAlignment="1" applyProtection="1">
      <alignment horizontal="center"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</xf>
    <xf numFmtId="2" fontId="3" fillId="0" borderId="8" xfId="0" applyNumberFormat="1" applyFont="1" applyBorder="1" applyAlignment="1" applyProtection="1">
      <alignment horizontal="center" vertical="center"/>
    </xf>
    <xf numFmtId="164" fontId="3" fillId="0" borderId="8" xfId="0" applyNumberFormat="1" applyFont="1" applyBorder="1" applyAlignment="1" applyProtection="1">
      <alignment horizontal="center" vertical="center"/>
    </xf>
    <xf numFmtId="165" fontId="3" fillId="0" borderId="8" xfId="0" applyNumberFormat="1" applyFont="1" applyBorder="1" applyAlignment="1" applyProtection="1">
      <alignment horizontal="center" vertical="center"/>
    </xf>
    <xf numFmtId="0" fontId="3" fillId="0" borderId="8" xfId="0" applyNumberFormat="1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vertical="center" wrapText="1"/>
    </xf>
    <xf numFmtId="0" fontId="3" fillId="12" borderId="0" xfId="0" applyNumberFormat="1" applyFont="1" applyFill="1" applyAlignment="1" applyProtection="1">
      <alignment horizontal="center" vertical="center"/>
      <protection locked="0"/>
    </xf>
    <xf numFmtId="0" fontId="0" fillId="12" borderId="0" xfId="0" applyFill="1" applyProtection="1">
      <protection locked="0"/>
    </xf>
    <xf numFmtId="0" fontId="3" fillId="12" borderId="0" xfId="0" applyFont="1" applyFill="1" applyAlignment="1" applyProtection="1">
      <alignment horizontal="center" vertical="center"/>
      <protection locked="0"/>
    </xf>
    <xf numFmtId="0" fontId="0" fillId="12" borderId="13" xfId="0" applyFill="1" applyBorder="1" applyProtection="1">
      <protection locked="0"/>
    </xf>
    <xf numFmtId="0" fontId="1" fillId="11" borderId="16" xfId="0" applyFont="1" applyFill="1" applyBorder="1" applyAlignment="1">
      <alignment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4" fillId="16" borderId="9" xfId="0" applyFont="1" applyFill="1" applyBorder="1" applyAlignment="1" applyProtection="1">
      <alignment vertical="center"/>
      <protection locked="0"/>
    </xf>
    <xf numFmtId="0" fontId="0" fillId="16" borderId="11" xfId="0" applyFill="1" applyBorder="1" applyProtection="1">
      <protection locked="0"/>
    </xf>
    <xf numFmtId="0" fontId="0" fillId="16" borderId="10" xfId="0" applyFill="1" applyBorder="1" applyProtection="1">
      <protection locked="0"/>
    </xf>
    <xf numFmtId="164" fontId="3" fillId="0" borderId="12" xfId="0" applyNumberFormat="1" applyFont="1" applyBorder="1" applyAlignment="1" applyProtection="1">
      <alignment horizontal="center" vertical="center"/>
      <protection locked="0"/>
    </xf>
    <xf numFmtId="0" fontId="3" fillId="12" borderId="13" xfId="0" applyNumberFormat="1" applyFont="1" applyFill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 applyProtection="1">
      <alignment horizontal="center" vertical="center"/>
      <protection locked="0"/>
    </xf>
    <xf numFmtId="0" fontId="3" fillId="12" borderId="13" xfId="0" applyFont="1" applyFill="1" applyBorder="1" applyAlignment="1" applyProtection="1">
      <alignment horizontal="center" vertical="center"/>
      <protection locked="0"/>
    </xf>
    <xf numFmtId="0" fontId="3" fillId="13" borderId="14" xfId="0" applyFont="1" applyFill="1" applyBorder="1" applyAlignment="1" applyProtection="1">
      <alignment horizontal="center" vertical="center"/>
      <protection locked="0"/>
    </xf>
    <xf numFmtId="0" fontId="0" fillId="0" borderId="0" xfId="0"/>
    <xf numFmtId="164" fontId="3" fillId="13" borderId="8" xfId="0" applyNumberFormat="1" applyFont="1" applyFill="1" applyBorder="1" applyAlignment="1">
      <alignment horizontal="center" vertical="center"/>
    </xf>
    <xf numFmtId="165" fontId="3" fillId="13" borderId="8" xfId="0" applyNumberFormat="1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1" fillId="17" borderId="16" xfId="0" applyFont="1" applyFill="1" applyBorder="1" applyAlignment="1">
      <alignment vertical="center" wrapText="1"/>
    </xf>
    <xf numFmtId="0" fontId="1" fillId="17" borderId="16" xfId="0" applyFont="1" applyFill="1" applyBorder="1" applyAlignment="1">
      <alignment horizontal="center" vertical="center" wrapText="1"/>
    </xf>
    <xf numFmtId="0" fontId="0" fillId="0" borderId="0" xfId="0" applyFill="1"/>
    <xf numFmtId="0" fontId="1" fillId="3" borderId="16" xfId="0" applyFont="1" applyFill="1" applyBorder="1" applyAlignment="1">
      <alignment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vertical="center" wrapText="1"/>
    </xf>
    <xf numFmtId="0" fontId="1" fillId="15" borderId="1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 applyProtection="1">
      <alignment wrapText="1"/>
      <protection locked="0"/>
    </xf>
    <xf numFmtId="0" fontId="7" fillId="13" borderId="0" xfId="0" applyFont="1" applyFill="1" applyBorder="1" applyAlignment="1" applyProtection="1">
      <alignment horizontal="left"/>
      <protection locked="0"/>
    </xf>
    <xf numFmtId="0" fontId="6" fillId="13" borderId="0" xfId="0" applyFont="1" applyFill="1" applyBorder="1" applyAlignment="1" applyProtection="1">
      <alignment horizontal="center" vertical="center"/>
      <protection locked="0"/>
    </xf>
    <xf numFmtId="0" fontId="4" fillId="13" borderId="8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10" fillId="0" borderId="0" xfId="0" applyFont="1" applyProtection="1">
      <protection locked="0"/>
    </xf>
    <xf numFmtId="164" fontId="3" fillId="13" borderId="14" xfId="0" applyNumberFormat="1" applyFont="1" applyFill="1" applyBorder="1" applyAlignment="1" applyProtection="1">
      <alignment horizontal="center" vertical="center"/>
      <protection locked="0"/>
    </xf>
    <xf numFmtId="164" fontId="3" fillId="14" borderId="14" xfId="0" applyNumberFormat="1" applyFont="1" applyFill="1" applyBorder="1" applyAlignment="1" applyProtection="1">
      <alignment horizontal="center" vertical="center"/>
    </xf>
    <xf numFmtId="0" fontId="3" fillId="3" borderId="14" xfId="0" applyNumberFormat="1" applyFont="1" applyFill="1" applyBorder="1" applyAlignment="1" applyProtection="1">
      <alignment vertical="center"/>
      <protection locked="0"/>
    </xf>
    <xf numFmtId="0" fontId="3" fillId="3" borderId="14" xfId="0" applyFont="1" applyFill="1" applyBorder="1" applyAlignment="1" applyProtection="1">
      <alignment vertical="center"/>
      <protection locked="0"/>
    </xf>
    <xf numFmtId="0" fontId="3" fillId="15" borderId="14" xfId="0" applyNumberFormat="1" applyFont="1" applyFill="1" applyBorder="1" applyAlignment="1" applyProtection="1">
      <alignment vertical="center" wrapText="1"/>
      <protection locked="0"/>
    </xf>
    <xf numFmtId="0" fontId="3" fillId="15" borderId="14" xfId="0" applyFont="1" applyFill="1" applyBorder="1" applyAlignment="1" applyProtection="1">
      <alignment vertical="center" wrapText="1"/>
      <protection locked="0"/>
    </xf>
    <xf numFmtId="164" fontId="3" fillId="0" borderId="0" xfId="0" applyNumberFormat="1" applyFont="1" applyBorder="1" applyAlignment="1" applyProtection="1">
      <alignment horizontal="center" vertical="center"/>
      <protection locked="0"/>
    </xf>
    <xf numFmtId="1" fontId="3" fillId="0" borderId="0" xfId="0" applyNumberFormat="1" applyFont="1" applyBorder="1" applyAlignment="1" applyProtection="1">
      <alignment horizontal="center" vertical="center"/>
      <protection locked="0"/>
    </xf>
    <xf numFmtId="0" fontId="3" fillId="0" borderId="0" xfId="0" applyNumberFormat="1" applyFont="1" applyBorder="1" applyAlignment="1" applyProtection="1">
      <alignment horizontal="center" vertical="center"/>
      <protection locked="0"/>
    </xf>
    <xf numFmtId="0" fontId="3" fillId="0" borderId="15" xfId="0" applyNumberFormat="1" applyFont="1" applyBorder="1" applyAlignment="1" applyProtection="1">
      <alignment horizontal="center" vertical="center"/>
    </xf>
    <xf numFmtId="0" fontId="3" fillId="0" borderId="14" xfId="0" applyFont="1" applyBorder="1" applyAlignment="1" applyProtection="1">
      <alignment vertical="center" wrapText="1"/>
    </xf>
    <xf numFmtId="0" fontId="3" fillId="0" borderId="14" xfId="0" applyNumberFormat="1" applyFont="1" applyBorder="1" applyAlignment="1" applyProtection="1">
      <alignment vertical="center" wrapText="1"/>
    </xf>
    <xf numFmtId="0" fontId="3" fillId="0" borderId="0" xfId="0" applyFont="1" applyBorder="1" applyAlignment="1" applyProtection="1">
      <alignment horizontal="center" vertical="center"/>
      <protection locked="0"/>
    </xf>
    <xf numFmtId="164" fontId="3" fillId="0" borderId="15" xfId="0" applyNumberFormat="1" applyFont="1" applyBorder="1" applyAlignment="1" applyProtection="1">
      <alignment horizontal="center" vertical="center"/>
    </xf>
    <xf numFmtId="164" fontId="3" fillId="0" borderId="14" xfId="0" applyNumberFormat="1" applyFont="1" applyBorder="1" applyAlignment="1" applyProtection="1">
      <alignment horizontal="center" vertical="center"/>
    </xf>
    <xf numFmtId="0" fontId="3" fillId="0" borderId="14" xfId="0" applyFont="1" applyBorder="1" applyAlignment="1" applyProtection="1">
      <alignment horizontal="center" vertical="center"/>
    </xf>
    <xf numFmtId="165" fontId="3" fillId="0" borderId="14" xfId="0" applyNumberFormat="1" applyFont="1" applyBorder="1" applyAlignment="1" applyProtection="1">
      <alignment horizontal="center" vertical="center"/>
    </xf>
    <xf numFmtId="0" fontId="3" fillId="0" borderId="15" xfId="0" applyFont="1" applyBorder="1" applyAlignment="1" applyProtection="1">
      <alignment horizontal="center" vertical="center"/>
    </xf>
    <xf numFmtId="2" fontId="3" fillId="0" borderId="14" xfId="0" applyNumberFormat="1" applyFont="1" applyBorder="1" applyAlignment="1" applyProtection="1">
      <alignment horizontal="center" vertical="center"/>
    </xf>
    <xf numFmtId="0" fontId="3" fillId="0" borderId="14" xfId="0" applyNumberFormat="1" applyFont="1" applyBorder="1" applyAlignment="1" applyProtection="1">
      <alignment horizontal="center" vertical="center"/>
    </xf>
    <xf numFmtId="167" fontId="3" fillId="0" borderId="0" xfId="0" applyNumberFormat="1" applyFont="1" applyAlignment="1" applyProtection="1">
      <alignment horizontal="center" vertical="center"/>
      <protection locked="0"/>
    </xf>
    <xf numFmtId="164" fontId="11" fillId="0" borderId="12" xfId="0" applyNumberFormat="1" applyFont="1" applyBorder="1" applyAlignment="1" applyProtection="1">
      <alignment horizontal="center" vertical="center"/>
      <protection locked="0"/>
    </xf>
    <xf numFmtId="0" fontId="11" fillId="12" borderId="13" xfId="0" applyNumberFormat="1" applyFont="1" applyFill="1" applyBorder="1" applyAlignment="1" applyProtection="1">
      <alignment horizontal="center" vertical="center"/>
      <protection locked="0"/>
    </xf>
    <xf numFmtId="165" fontId="11" fillId="0" borderId="12" xfId="0" applyNumberFormat="1" applyFont="1" applyBorder="1" applyAlignment="1" applyProtection="1">
      <alignment horizontal="center" vertical="center"/>
      <protection locked="0"/>
    </xf>
    <xf numFmtId="0" fontId="11" fillId="12" borderId="13" xfId="0" applyFont="1" applyFill="1" applyBorder="1" applyAlignment="1" applyProtection="1">
      <alignment horizontal="center" vertical="center"/>
      <protection locked="0"/>
    </xf>
    <xf numFmtId="0" fontId="11" fillId="12" borderId="21" xfId="0" applyFont="1" applyFill="1" applyBorder="1" applyAlignment="1" applyProtection="1">
      <alignment horizontal="center" vertical="center"/>
      <protection locked="0"/>
    </xf>
    <xf numFmtId="164" fontId="11" fillId="13" borderId="14" xfId="0" applyNumberFormat="1" applyFont="1" applyFill="1" applyBorder="1" applyAlignment="1" applyProtection="1">
      <alignment horizontal="center" vertical="center"/>
      <protection locked="0"/>
    </xf>
    <xf numFmtId="164" fontId="11" fillId="14" borderId="14" xfId="0" applyNumberFormat="1" applyFont="1" applyFill="1" applyBorder="1" applyAlignment="1" applyProtection="1">
      <alignment horizontal="center" vertical="center"/>
    </xf>
    <xf numFmtId="0" fontId="11" fillId="13" borderId="14" xfId="0" applyFont="1" applyFill="1" applyBorder="1" applyAlignment="1" applyProtection="1">
      <alignment horizontal="center" vertical="center"/>
      <protection locked="0"/>
    </xf>
    <xf numFmtId="0" fontId="11" fillId="3" borderId="14" xfId="0" applyNumberFormat="1" applyFont="1" applyFill="1" applyBorder="1" applyAlignment="1" applyProtection="1">
      <alignment vertical="center"/>
      <protection locked="0"/>
    </xf>
    <xf numFmtId="0" fontId="11" fillId="3" borderId="14" xfId="0" applyFont="1" applyFill="1" applyBorder="1" applyAlignment="1" applyProtection="1">
      <alignment vertical="center"/>
      <protection locked="0"/>
    </xf>
    <xf numFmtId="0" fontId="11" fillId="15" borderId="14" xfId="0" applyNumberFormat="1" applyFont="1" applyFill="1" applyBorder="1" applyAlignment="1" applyProtection="1">
      <alignment vertical="center" wrapText="1"/>
      <protection locked="0"/>
    </xf>
    <xf numFmtId="0" fontId="11" fillId="15" borderId="14" xfId="0" applyFont="1" applyFill="1" applyBorder="1" applyAlignment="1" applyProtection="1">
      <alignment vertical="center" wrapText="1"/>
      <protection locked="0"/>
    </xf>
    <xf numFmtId="164" fontId="11" fillId="0" borderId="0" xfId="0" applyNumberFormat="1" applyFont="1" applyBorder="1" applyAlignment="1" applyProtection="1">
      <alignment horizontal="center" vertical="center"/>
      <protection locked="0"/>
    </xf>
    <xf numFmtId="1" fontId="11" fillId="0" borderId="0" xfId="0" applyNumberFormat="1" applyFont="1" applyBorder="1" applyAlignment="1" applyProtection="1">
      <alignment horizontal="center" vertical="center"/>
      <protection locked="0"/>
    </xf>
    <xf numFmtId="0" fontId="11" fillId="0" borderId="0" xfId="0" applyNumberFormat="1" applyFont="1" applyBorder="1" applyAlignment="1" applyProtection="1">
      <alignment horizontal="center" vertical="center"/>
      <protection locked="0"/>
    </xf>
    <xf numFmtId="0" fontId="11" fillId="0" borderId="15" xfId="0" applyNumberFormat="1" applyFont="1" applyBorder="1" applyAlignment="1" applyProtection="1">
      <alignment horizontal="center" vertical="center"/>
    </xf>
    <xf numFmtId="0" fontId="11" fillId="0" borderId="14" xfId="0" applyFont="1" applyBorder="1" applyAlignment="1" applyProtection="1">
      <alignment vertical="center" wrapText="1"/>
    </xf>
    <xf numFmtId="0" fontId="11" fillId="0" borderId="14" xfId="0" applyNumberFormat="1" applyFont="1" applyBorder="1" applyAlignment="1" applyProtection="1">
      <alignment vertical="center" wrapText="1"/>
    </xf>
    <xf numFmtId="0" fontId="11" fillId="0" borderId="0" xfId="0" applyFont="1" applyBorder="1" applyAlignment="1" applyProtection="1">
      <alignment horizontal="center" vertical="center"/>
      <protection locked="0"/>
    </xf>
    <xf numFmtId="49" fontId="0" fillId="0" borderId="0" xfId="0" applyNumberFormat="1"/>
    <xf numFmtId="0" fontId="12" fillId="16" borderId="9" xfId="0" applyFont="1" applyFill="1" applyBorder="1" applyAlignment="1" applyProtection="1">
      <alignment horizontal="center" vertical="center" wrapText="1"/>
      <protection locked="0"/>
    </xf>
    <xf numFmtId="0" fontId="3" fillId="12" borderId="21" xfId="0" applyFont="1" applyFill="1" applyBorder="1" applyAlignment="1" applyProtection="1">
      <alignment horizontal="center" vertical="center"/>
      <protection locked="0"/>
    </xf>
    <xf numFmtId="0" fontId="4" fillId="16" borderId="9" xfId="0" applyNumberFormat="1" applyFont="1" applyFill="1" applyBorder="1" applyAlignment="1" applyProtection="1">
      <alignment vertical="center"/>
      <protection locked="0"/>
    </xf>
    <xf numFmtId="0" fontId="9" fillId="12" borderId="8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165" fontId="9" fillId="12" borderId="8" xfId="0" applyNumberFormat="1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0" fontId="4" fillId="16" borderId="8" xfId="0" applyFont="1" applyFill="1" applyBorder="1" applyAlignment="1" applyProtection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3" fillId="18" borderId="8" xfId="0" applyFont="1" applyFill="1" applyBorder="1" applyAlignment="1" applyProtection="1">
      <alignment horizontal="center" vertical="center"/>
      <protection locked="0"/>
    </xf>
    <xf numFmtId="0" fontId="3" fillId="18" borderId="14" xfId="0" applyFont="1" applyFill="1" applyBorder="1" applyAlignment="1" applyProtection="1">
      <alignment horizontal="center" vertical="center"/>
      <protection locked="0"/>
    </xf>
    <xf numFmtId="0" fontId="11" fillId="18" borderId="14" xfId="0" applyFont="1" applyFill="1" applyBorder="1" applyAlignment="1" applyProtection="1">
      <alignment horizontal="center" vertical="center"/>
      <protection locked="0"/>
    </xf>
    <xf numFmtId="0" fontId="14" fillId="18" borderId="0" xfId="0" applyFont="1" applyFill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1" fontId="9" fillId="12" borderId="8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15" fillId="0" borderId="8" xfId="0" applyNumberFormat="1" applyFont="1" applyFill="1" applyBorder="1" applyAlignment="1" applyProtection="1">
      <alignment horizontal="center" vertical="center"/>
      <protection locked="0"/>
    </xf>
    <xf numFmtId="0" fontId="15" fillId="0" borderId="8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0" borderId="8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49" fontId="15" fillId="0" borderId="0" xfId="0" applyNumberFormat="1" applyFont="1" applyAlignment="1">
      <alignment horizontal="center" vertical="center" wrapText="1"/>
    </xf>
    <xf numFmtId="49" fontId="15" fillId="0" borderId="8" xfId="0" applyNumberFormat="1" applyFont="1" applyFill="1" applyBorder="1" applyAlignment="1" applyProtection="1">
      <alignment horizontal="center" vertical="center" wrapText="1"/>
      <protection locked="0"/>
    </xf>
    <xf numFmtId="1" fontId="15" fillId="0" borderId="8" xfId="0" applyNumberFormat="1" applyFont="1" applyFill="1" applyBorder="1" applyAlignment="1" applyProtection="1">
      <alignment horizontal="center" vertical="center" wrapText="1"/>
      <protection locked="0"/>
    </xf>
    <xf numFmtId="165" fontId="15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8" xfId="0" applyFont="1" applyFill="1" applyBorder="1" applyAlignment="1">
      <alignment horizontal="center" vertical="center"/>
    </xf>
    <xf numFmtId="1" fontId="15" fillId="0" borderId="8" xfId="0" applyNumberFormat="1" applyFont="1" applyFill="1" applyBorder="1" applyAlignment="1">
      <alignment horizontal="center" vertical="center"/>
    </xf>
    <xf numFmtId="0" fontId="15" fillId="0" borderId="0" xfId="0" applyFont="1" applyFill="1"/>
    <xf numFmtId="49" fontId="15" fillId="0" borderId="0" xfId="0" applyNumberFormat="1" applyFont="1" applyFill="1"/>
    <xf numFmtId="0" fontId="15" fillId="0" borderId="0" xfId="0" applyFont="1" applyFill="1" applyAlignment="1">
      <alignment horizontal="left"/>
    </xf>
    <xf numFmtId="0" fontId="18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0" fillId="0" borderId="8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wrapText="1"/>
    </xf>
    <xf numFmtId="49" fontId="20" fillId="0" borderId="8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1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>
      <alignment horizontal="center" vertical="center" wrapText="1"/>
    </xf>
    <xf numFmtId="49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1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Fill="1" applyBorder="1" applyAlignment="1">
      <alignment horizontal="center" vertical="center" wrapText="1"/>
    </xf>
    <xf numFmtId="165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2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1" fontId="15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/>
    <xf numFmtId="49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164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8" xfId="0" applyFont="1" applyBorder="1" applyAlignment="1">
      <alignment horizontal="center" vertical="center" wrapText="1"/>
    </xf>
    <xf numFmtId="0" fontId="0" fillId="0" borderId="0" xfId="0" applyBorder="1" applyProtection="1">
      <protection locked="0"/>
    </xf>
    <xf numFmtId="0" fontId="21" fillId="19" borderId="22" xfId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13" borderId="9" xfId="0" applyFont="1" applyFill="1" applyBorder="1" applyAlignment="1" applyProtection="1">
      <alignment horizontal="left"/>
      <protection locked="0"/>
    </xf>
    <xf numFmtId="0" fontId="4" fillId="13" borderId="11" xfId="0" applyFont="1" applyFill="1" applyBorder="1" applyAlignment="1" applyProtection="1">
      <alignment horizontal="left"/>
      <protection locked="0"/>
    </xf>
    <xf numFmtId="0" fontId="0" fillId="14" borderId="17" xfId="0" applyFill="1" applyBorder="1" applyAlignment="1" applyProtection="1">
      <alignment horizontal="left" vertical="top" wrapText="1"/>
      <protection locked="0"/>
    </xf>
    <xf numFmtId="0" fontId="0" fillId="14" borderId="18" xfId="0" applyFill="1" applyBorder="1" applyAlignment="1" applyProtection="1">
      <alignment horizontal="left" vertical="top" wrapText="1"/>
      <protection locked="0"/>
    </xf>
    <xf numFmtId="0" fontId="0" fillId="14" borderId="2" xfId="0" applyFill="1" applyBorder="1" applyAlignment="1" applyProtection="1">
      <alignment horizontal="left" vertical="top" wrapText="1"/>
      <protection locked="0"/>
    </xf>
    <xf numFmtId="0" fontId="0" fillId="14" borderId="19" xfId="0" applyFill="1" applyBorder="1" applyAlignment="1" applyProtection="1">
      <alignment horizontal="left" vertical="top" wrapText="1"/>
      <protection locked="0"/>
    </xf>
    <xf numFmtId="0" fontId="0" fillId="14" borderId="20" xfId="0" applyFill="1" applyBorder="1" applyAlignment="1" applyProtection="1">
      <alignment horizontal="left" vertical="top" wrapText="1"/>
      <protection locked="0"/>
    </xf>
    <xf numFmtId="0" fontId="0" fillId="14" borderId="7" xfId="0" applyFill="1" applyBorder="1" applyAlignment="1" applyProtection="1">
      <alignment horizontal="left" vertical="top" wrapText="1"/>
      <protection locked="0"/>
    </xf>
    <xf numFmtId="0" fontId="4" fillId="13" borderId="8" xfId="0" applyFont="1" applyFill="1" applyBorder="1" applyAlignment="1" applyProtection="1">
      <alignment horizontal="left"/>
      <protection locked="0"/>
    </xf>
    <xf numFmtId="0" fontId="0" fillId="14" borderId="0" xfId="0" applyFill="1" applyAlignment="1" applyProtection="1">
      <alignment horizontal="left" vertical="top" wrapText="1"/>
      <protection locked="0"/>
    </xf>
    <xf numFmtId="0" fontId="4" fillId="13" borderId="8" xfId="0" applyFont="1" applyFill="1" applyBorder="1" applyAlignment="1" applyProtection="1">
      <alignment horizontal="center"/>
      <protection locked="0"/>
    </xf>
    <xf numFmtId="0" fontId="7" fillId="14" borderId="8" xfId="0" applyFont="1" applyFill="1" applyBorder="1" applyAlignment="1" applyProtection="1">
      <alignment horizontal="left"/>
    </xf>
    <xf numFmtId="2" fontId="6" fillId="14" borderId="8" xfId="0" applyNumberFormat="1" applyFont="1" applyFill="1" applyBorder="1" applyAlignment="1" applyProtection="1">
      <alignment horizontal="center" vertical="center"/>
    </xf>
    <xf numFmtId="0" fontId="4" fillId="13" borderId="8" xfId="0" applyFont="1" applyFill="1" applyBorder="1" applyAlignment="1" applyProtection="1">
      <alignment horizontal="center" vertical="center"/>
      <protection locked="0"/>
    </xf>
    <xf numFmtId="0" fontId="5" fillId="14" borderId="8" xfId="0" applyFont="1" applyFill="1" applyBorder="1" applyAlignment="1" applyProtection="1">
      <alignment horizontal="left"/>
    </xf>
    <xf numFmtId="166" fontId="6" fillId="14" borderId="8" xfId="0" applyNumberFormat="1" applyFont="1" applyFill="1" applyBorder="1" applyAlignment="1" applyProtection="1">
      <alignment horizontal="center" vertical="center"/>
    </xf>
    <xf numFmtId="0" fontId="4" fillId="16" borderId="8" xfId="0" applyFont="1" applyFill="1" applyBorder="1" applyAlignment="1" applyProtection="1">
      <alignment horizontal="center" vertical="center"/>
      <protection locked="0"/>
    </xf>
    <xf numFmtId="165" fontId="6" fillId="14" borderId="8" xfId="0" applyNumberFormat="1" applyFont="1" applyFill="1" applyBorder="1" applyAlignment="1" applyProtection="1">
      <alignment horizontal="center" vertical="center"/>
    </xf>
    <xf numFmtId="0" fontId="7" fillId="13" borderId="8" xfId="0" applyFont="1" applyFill="1" applyBorder="1" applyAlignment="1" applyProtection="1">
      <alignment horizontal="left"/>
      <protection locked="0"/>
    </xf>
    <xf numFmtId="0" fontId="6" fillId="13" borderId="8" xfId="0" applyFont="1" applyFill="1" applyBorder="1" applyAlignment="1" applyProtection="1">
      <alignment horizontal="center" vertical="center"/>
      <protection locked="0"/>
    </xf>
    <xf numFmtId="0" fontId="15" fillId="0" borderId="0" xfId="0" applyFont="1" applyBorder="1" applyAlignment="1">
      <alignment horizontal="right" vertical="center"/>
    </xf>
    <xf numFmtId="164" fontId="15" fillId="0" borderId="0" xfId="0" applyNumberFormat="1" applyFont="1" applyBorder="1" applyAlignment="1">
      <alignment horizontal="center" vertical="center"/>
    </xf>
    <xf numFmtId="164" fontId="3" fillId="13" borderId="8" xfId="0" applyNumberFormat="1" applyFont="1" applyFill="1" applyBorder="1" applyAlignment="1" applyProtection="1">
      <alignment horizontal="center" vertical="center"/>
      <protection locked="0"/>
    </xf>
    <xf numFmtId="164" fontId="3" fillId="14" borderId="9" xfId="0" applyNumberFormat="1" applyFont="1" applyFill="1" applyBorder="1" applyAlignment="1" applyProtection="1">
      <alignment horizontal="center" vertical="center"/>
    </xf>
  </cellXfs>
  <cellStyles count="2">
    <cellStyle name="Гиперссылка" xfId="1" builtinId="8"/>
    <cellStyle name="Обычный" xfId="0" builtinId="0"/>
  </cellStyles>
  <dxfs count="1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164" formatCode="0.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164" formatCode="0.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outline="0">
        <left/>
        <right style="thin">
          <color indexed="64"/>
        </right>
      </border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protection locked="0" hidden="0"/>
    </dxf>
    <dxf>
      <fill>
        <patternFill patternType="solid">
          <fgColor indexed="64"/>
          <bgColor theme="0"/>
        </patternFill>
      </fill>
      <border outline="0">
        <right style="thin">
          <color indexed="64"/>
        </right>
      </border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165" formatCode="0.0"/>
      <alignment horizontal="center" vertical="center" textRotation="0" wrapText="0" indent="0" justifyLastLine="0" shrinkToFit="0" readingOrder="0"/>
      <border outline="0">
        <left style="thin">
          <color indexed="64"/>
        </lef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outline="0">
        <right style="thin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167" formatCode="0.0000"/>
      <alignment horizontal="center" vertical="center" textRotation="0" wrapText="0" indent="0" justifyLastLine="0" shrinkToFit="0" readingOrder="0"/>
      <border>
        <left style="thin">
          <color indexed="64"/>
        </lef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CCEC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CCEC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CCEC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CCEC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CCEC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CCEC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CCEC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fill>
        <patternFill patternType="solid">
          <fgColor indexed="64"/>
          <bgColor rgb="FFCCEC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fill>
        <patternFill patternType="solid">
          <fgColor indexed="64"/>
          <bgColor rgb="FFFFFF9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FFFF99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FFFF99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FFFF99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FFFF99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FFFF99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fill>
        <patternFill patternType="solid">
          <fgColor indexed="64"/>
          <bgColor rgb="FFFFFF99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0" formatCode="General"/>
      <fill>
        <patternFill patternType="solid">
          <fgColor indexed="64"/>
          <bgColor rgb="FFFFFF99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CCFF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165" formatCode="0.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164" formatCode="0.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164" formatCode="0.0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164" formatCode="0.0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Стиль таблицы 1" pivot="0" count="0"/>
  </tableStyles>
  <colors>
    <mruColors>
      <color rgb="FFFFC000"/>
      <color rgb="FFFF0000"/>
      <color rgb="FFE6F0FF"/>
      <color rgb="FFFFEB9C"/>
      <color rgb="FFCCECFF"/>
      <color rgb="FFFF99FF"/>
      <color rgb="FFFEC434"/>
      <color rgb="FFFFCC66"/>
      <color rgb="FFFF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Таблица4383232" displayName="Таблица4383232" ref="A12:BF25" headerRowCount="0" totalsRowShown="0" headerRowDxfId="117" dataDxfId="116">
  <tableColumns count="58">
    <tableColumn id="1" name="Столбец1" headerRowDxfId="115" dataDxfId="114"/>
    <tableColumn id="2" name="Столбец2" headerRowDxfId="113" dataDxfId="112"/>
    <tableColumn id="3" name="Прот" headerRowDxfId="111" dataDxfId="110">
      <calculatedColumnFormula>B12-A12</calculatedColumnFormula>
    </tableColumn>
    <tableColumn id="4" name="Ширина" headerRowDxfId="109" dataDxfId="108"/>
    <tableColumn id="5" name="Покрытие" headerRowDxfId="107" dataDxfId="106"/>
    <tableColumn id="6" name="Деф 1" headerRowDxfId="105" dataDxfId="104"/>
    <tableColumn id="7" name="Деф 2" headerRowDxfId="103" dataDxfId="102"/>
    <tableColumn id="8" name="Столбец4" headerRowDxfId="101" dataDxfId="100"/>
    <tableColumn id="9" name="Столбец5" headerRowDxfId="99" dataDxfId="98"/>
    <tableColumn id="10" name="Столбец6" headerRowDxfId="97" dataDxfId="96"/>
    <tableColumn id="11" name="Столбец7" headerRowDxfId="95" dataDxfId="94"/>
    <tableColumn id="12" name="Столбец8" headerRowDxfId="93" dataDxfId="92"/>
    <tableColumn id="13" name="Столбец9" headerRowDxfId="91" dataDxfId="90"/>
    <tableColumn id="14" name="Дефекты10" headerRowDxfId="89" dataDxfId="88">
      <calculatedColumnFormula>IFERROR(VLOOKUP(Таблица4383232[[#This Row],[Деф 1]],Лист1!$A$4:$F$72,2,FALSE),"")</calculatedColumnFormula>
    </tableColumn>
    <tableColumn id="15" name="Столбец11" headerRowDxfId="87" dataDxfId="86">
      <calculatedColumnFormula>IFERROR(VLOOKUP(Таблица4383232[[#This Row],[Деф 2]],Лист1!$A$4:$F$72,2,FALSE),"")</calculatedColumnFormula>
    </tableColumn>
    <tableColumn id="16" name="Столбец12" headerRowDxfId="85" dataDxfId="84">
      <calculatedColumnFormula>IFERROR(VLOOKUP(Таблица4383232[[#This Row],[Столбец4]],Лист1!$A$4:$F$72,2,FALSE),"")</calculatedColumnFormula>
    </tableColumn>
    <tableColumn id="17" name="Столбец13" headerRowDxfId="83" dataDxfId="82">
      <calculatedColumnFormula>IFERROR(VLOOKUP(Таблица4383232[[#This Row],[Столбец5]],Лист1!$A$4:$F$72,2,FALSE),"")</calculatedColumnFormula>
    </tableColumn>
    <tableColumn id="18" name="Столбец14" headerRowDxfId="81" dataDxfId="80">
      <calculatedColumnFormula>IFERROR(VLOOKUP(Таблица4383232[[#This Row],[Столбец6]],Лист1!$A$4:$F$72,2,FALSE),"")</calculatedColumnFormula>
    </tableColumn>
    <tableColumn id="19" name="Столбец15" headerRowDxfId="79" dataDxfId="78">
      <calculatedColumnFormula>IFERROR(VLOOKUP(Таблица4383232[[#This Row],[Столбец7]],Лист1!$A$4:$F$72,2,FALSE),"")</calculatedColumnFormula>
    </tableColumn>
    <tableColumn id="20" name="Столбец16" headerRowDxfId="77" dataDxfId="76">
      <calculatedColumnFormula>IFERROR(VLOOKUP(Таблица4383232[[#This Row],[Столбец8]],Лист1!$A$4:$F$72,2,FALSE),"")</calculatedColumnFormula>
    </tableColumn>
    <tableColumn id="21" name="Столбец17" headerRowDxfId="75" dataDxfId="74">
      <calculatedColumnFormula>IF(ISBLANK(Таблица4383232[[#This Row],[Столбец9]]),"",Таблица4383232[[#This Row],[Столбец9]])</calculatedColumnFormula>
    </tableColumn>
    <tableColumn id="22" name="Баллы" headerRowDxfId="73" dataDxfId="72">
      <calculatedColumnFormula>IFERROR(VLOOKUP(Таблица4383232[[#This Row],[Деф 1]],Лист1!$A$4:$F$72,3,FALSE),"")</calculatedColumnFormula>
    </tableColumn>
    <tableColumn id="23" name="Столбец18" headerRowDxfId="71" dataDxfId="70">
      <calculatedColumnFormula>IFERROR(VLOOKUP(Таблица4383232[[#This Row],[Деф 2]],Лист1!$A$4:$F$72,3,FALSE),"")</calculatedColumnFormula>
    </tableColumn>
    <tableColumn id="24" name="Столбец19" headerRowDxfId="69" dataDxfId="68">
      <calculatedColumnFormula>IFERROR(VLOOKUP(Таблица4383232[[#This Row],[Столбец4]],Лист1!$A$4:$F$72,3,FALSE),"")</calculatedColumnFormula>
    </tableColumn>
    <tableColumn id="25" name="Столбец20" headerRowDxfId="67" dataDxfId="66">
      <calculatedColumnFormula>IFERROR(VLOOKUP(Таблица4383232[[#This Row],[Столбец5]],Лист1!$A$4:$F$72,3,FALSE),"")</calculatedColumnFormula>
    </tableColumn>
    <tableColumn id="26" name="Столбец21" headerRowDxfId="65" dataDxfId="64">
      <calculatedColumnFormula>IFERROR(VLOOKUP(Таблица4383232[[#This Row],[Столбец6]],Лист1!$A$4:$F$72,3,FALSE),"")</calculatedColumnFormula>
    </tableColumn>
    <tableColumn id="27" name="Столбец22" headerRowDxfId="63" dataDxfId="62">
      <calculatedColumnFormula>IFERROR(VLOOKUP(Таблица4383232[[#This Row],[Столбец7]],Лист1!$A$4:$F$72,3,FALSE),"")</calculatedColumnFormula>
    </tableColumn>
    <tableColumn id="28" name="Столбец23" headerRowDxfId="61" dataDxfId="60">
      <calculatedColumnFormula>IFERROR(VLOOKUP(Таблица4383232[[#This Row],[Столбец8]],Лист1!$A$4:$F$72,3,FALSE),"")</calculatedColumnFormula>
    </tableColumn>
    <tableColumn id="29" name="Столбец24" headerRowDxfId="59" dataDxfId="58">
      <calculatedColumnFormula>IFERROR(VLOOKUP(Таблица4383232[[#This Row],[Столбец9]],Лист1!$A$4:$F$72,3,FALSE),"")</calculatedColumnFormula>
    </tableColumn>
    <tableColumn id="46" name="Столбец39" headerRowDxfId="57" dataDxfId="56">
      <calculatedColumnFormula>ROUND(AE11,3)</calculatedColumnFormula>
    </tableColumn>
    <tableColumn id="47" name="0" headerRowDxfId="55" dataDxfId="54">
      <calculatedColumnFormula>ROUND(AD12+C12,3)</calculatedColumnFormula>
    </tableColumn>
    <tableColumn id="48" name="Столбец41" headerRowDxfId="53" dataDxfId="52">
      <calculatedColumnFormula>ROUND(ROUNDDOWN(AD12,0),0)</calculatedColumnFormula>
    </tableColumn>
    <tableColumn id="49" name="Столбец42" headerRowDxfId="51" dataDxfId="50">
      <calculatedColumnFormula>ROUND((AD12-AF12)*1000,0)</calculatedColumnFormula>
    </tableColumn>
    <tableColumn id="50" name="Столбец43" headerRowDxfId="49" dataDxfId="48">
      <calculatedColumnFormula>ROUND(ROUNDDOWN(AE12,0),0)</calculatedColumnFormula>
    </tableColumn>
    <tableColumn id="51" name="Столбец44" headerRowDxfId="47" dataDxfId="46">
      <calculatedColumnFormula>ROUND((AE12-AH12)*1000,0)</calculatedColumnFormula>
    </tableColumn>
    <tableColumn id="52" name="Столбец45" headerRowDxfId="45" dataDxfId="44">
      <calculatedColumnFormula>IF(Таблица4383232[[#This Row],[Столбец42]]=0,"000",Таблица4383232[[#This Row],[Столбец42]])</calculatedColumnFormula>
    </tableColumn>
    <tableColumn id="53" name="Столбец46" headerRowDxfId="43" dataDxfId="42">
      <calculatedColumnFormula>IF(Таблица4383232[[#This Row],[Столбец44]]=0,"000",Таблица4383232[[#This Row],[Столбец44]])</calculatedColumnFormula>
    </tableColumn>
    <tableColumn id="76" name="Столбец462" headerRowDxfId="41" dataDxfId="40"/>
    <tableColumn id="54" name="Адрес дефекта, км +" headerRowDxfId="39" dataDxfId="38">
      <calculatedColumnFormula>CONCATENATE("км ",AF12,"+",AJ12," - км ",AH12,"+",AK12)</calculatedColumnFormula>
    </tableColumn>
    <tableColumn id="55" name="Столбец48" headerRowDxfId="37" dataDxfId="36">
      <calculatedColumnFormula>IF(ISBLANK(Таблица4383232[[#This Row],[Столбец9]]),N12&amp;O12&amp;P12&amp;Q12&amp;R12&amp;S12&amp;T12&amp;U12,N12&amp;O12&amp;P12&amp;Q12&amp;R12&amp;S12&amp;T12&amp;U12&amp;";")</calculatedColumnFormula>
    </tableColumn>
    <tableColumn id="75" name="Вид дефекта" headerRowDxfId="35" dataDxfId="34">
      <calculatedColumnFormula>UPPER(LEFT(Таблица4383232[[#This Row],[Столбец48]],1))&amp;RIGHT(LOWER(Таблица4383232[[#This Row],[Столбец48]]),LEN(Таблица4383232[[#This Row],[Столбец48]])-1)</calculatedColumnFormula>
    </tableColumn>
    <tableColumn id="56" name="Балл минимальный" headerRowDxfId="33" dataDxfId="32">
      <calculatedColumnFormula>MIN(V12:AC12)</calculatedColumnFormula>
    </tableColumn>
    <tableColumn id="59" name="Б*l" headerRowDxfId="31" dataDxfId="30">
      <calculatedColumnFormula>AP12*C12</calculatedColumnFormula>
    </tableColumn>
    <tableColumn id="63" name="Столбец50" headerRowDxfId="29" dataDxfId="28"/>
    <tableColumn id="64" name="Столбец51" headerRowDxfId="27" dataDxfId="26">
      <calculatedColumnFormula>AD12</calculatedColumnFormula>
    </tableColumn>
    <tableColumn id="65" name="Столбец52" headerRowDxfId="25" dataDxfId="24">
      <calculatedColumnFormula>AE12</calculatedColumnFormula>
    </tableColumn>
    <tableColumn id="66" name="Столбец53" headerRowDxfId="23" dataDxfId="22">
      <calculatedColumnFormula>E12</calculatedColumnFormula>
    </tableColumn>
    <tableColumn id="67" name="Столбец54" headerRowDxfId="21" dataDxfId="20">
      <calculatedColumnFormula>D12</calculatedColumnFormula>
    </tableColumn>
    <tableColumn id="68" name="Столбец55" headerRowDxfId="19" dataDxfId="18">
      <calculatedColumnFormula>IF(AP12=0,"-",AP12)</calculatedColumnFormula>
    </tableColumn>
    <tableColumn id="70" name="Столбец57" headerRowDxfId="17" dataDxfId="16"/>
    <tableColumn id="34" name="Столбец576" headerRowDxfId="15" dataDxfId="14">
      <calculatedColumnFormula>Таблица4383232[[#This Row],[Адрес дефекта, км +]]</calculatedColumnFormula>
    </tableColumn>
    <tableColumn id="33" name="Столбец575" headerRowDxfId="13" dataDxfId="12">
      <calculatedColumnFormula>Таблица4383232[[#This Row],[Столбец55]]</calculatedColumnFormula>
    </tableColumn>
    <tableColumn id="32" name="Столбец574" headerRowDxfId="11" dataDxfId="10">
      <calculatedColumnFormula>Таблица4383232[[#This Row],[Столбец59]]</calculatedColumnFormula>
    </tableColumn>
    <tableColumn id="31" name="Столбец573" headerRowDxfId="9" dataDxfId="8"/>
    <tableColumn id="30" name="Столбец572" headerRowDxfId="7" dataDxfId="6"/>
    <tableColumn id="71" name="Столбец58" headerRowDxfId="5" dataDxfId="4">
      <calculatedColumnFormula>Таблица4383232[[#This Row],[Адрес дефекта, км +]]</calculatedColumnFormula>
    </tableColumn>
    <tableColumn id="72" name="Столбец59" headerRowDxfId="3" dataDxfId="2">
      <calculatedColumnFormula>ROUND(1-((5-Таблица4383232[[#This Row],[Балл минимальный]])/10),2)</calculatedColumnFormula>
    </tableColumn>
    <tableColumn id="73" name="Столбец60" headerRowDxfId="1" dataDxfId="0">
      <calculatedColumnFormula>ROUND(BE12*$N$4,0)</calculatedColumnFormula>
    </tableColumn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F144"/>
  <sheetViews>
    <sheetView workbookViewId="0">
      <selection activeCell="A81" sqref="A81"/>
    </sheetView>
  </sheetViews>
  <sheetFormatPr defaultRowHeight="15" x14ac:dyDescent="0.25"/>
  <cols>
    <col min="2" max="2" width="48.7109375" customWidth="1"/>
    <col min="3" max="3" width="15.28515625" customWidth="1"/>
    <col min="4" max="4" width="16.42578125" customWidth="1"/>
    <col min="5" max="5" width="19.85546875" customWidth="1"/>
    <col min="6" max="6" width="17.5703125" customWidth="1"/>
  </cols>
  <sheetData>
    <row r="1" spans="1:6" ht="16.5" thickBot="1" x14ac:dyDescent="0.3">
      <c r="B1" s="1" t="s">
        <v>0</v>
      </c>
      <c r="C1" s="2"/>
      <c r="D1" s="179" t="s">
        <v>1</v>
      </c>
      <c r="E1" s="180"/>
      <c r="F1" s="181"/>
    </row>
    <row r="2" spans="1:6" ht="63.75" thickBot="1" x14ac:dyDescent="0.3">
      <c r="B2" s="3"/>
      <c r="C2" s="4" t="s">
        <v>2</v>
      </c>
      <c r="D2" s="4" t="s">
        <v>3</v>
      </c>
      <c r="E2" s="5" t="s">
        <v>4</v>
      </c>
      <c r="F2" s="5" t="s">
        <v>5</v>
      </c>
    </row>
    <row r="3" spans="1:6" ht="16.5" thickBot="1" x14ac:dyDescent="0.3">
      <c r="B3" s="6">
        <v>1</v>
      </c>
      <c r="C3" s="4">
        <v>2</v>
      </c>
      <c r="D3" s="4">
        <v>3</v>
      </c>
      <c r="E3" s="4">
        <v>4</v>
      </c>
      <c r="F3" s="4">
        <v>5</v>
      </c>
    </row>
    <row r="4" spans="1:6" ht="16.5" thickBot="1" x14ac:dyDescent="0.3">
      <c r="A4" s="68" t="s">
        <v>7</v>
      </c>
      <c r="B4" s="7" t="s">
        <v>6</v>
      </c>
      <c r="C4" s="8">
        <v>5</v>
      </c>
      <c r="D4" s="8">
        <v>1</v>
      </c>
      <c r="E4" s="8">
        <v>1</v>
      </c>
      <c r="F4" s="8">
        <v>1</v>
      </c>
    </row>
    <row r="5" spans="1:6" ht="32.25" thickBot="1" x14ac:dyDescent="0.3">
      <c r="A5" s="68" t="s">
        <v>9</v>
      </c>
      <c r="B5" s="7" t="s">
        <v>8</v>
      </c>
      <c r="C5" s="8">
        <v>4.9000000000000004</v>
      </c>
      <c r="D5" s="8">
        <v>0.95</v>
      </c>
      <c r="E5" s="8">
        <v>1</v>
      </c>
      <c r="F5" s="8">
        <v>0.9</v>
      </c>
    </row>
    <row r="6" spans="1:6" ht="32.25" thickBot="1" x14ac:dyDescent="0.3">
      <c r="A6" s="68" t="s">
        <v>11</v>
      </c>
      <c r="B6" s="7" t="s">
        <v>10</v>
      </c>
      <c r="C6" s="8">
        <v>4.5999999999999996</v>
      </c>
      <c r="D6" s="8">
        <v>0.9</v>
      </c>
      <c r="E6" s="8">
        <v>0.95</v>
      </c>
      <c r="F6" s="8">
        <v>0.8</v>
      </c>
    </row>
    <row r="7" spans="1:6" ht="32.25" thickBot="1" x14ac:dyDescent="0.3">
      <c r="A7" s="68" t="s">
        <v>13</v>
      </c>
      <c r="B7" s="9" t="s">
        <v>12</v>
      </c>
      <c r="C7" s="10">
        <v>4.3</v>
      </c>
      <c r="D7" s="10">
        <v>0.85</v>
      </c>
      <c r="E7" s="10">
        <v>0.9</v>
      </c>
      <c r="F7" s="10">
        <v>0.7</v>
      </c>
    </row>
    <row r="8" spans="1:6" ht="32.25" thickBot="1" x14ac:dyDescent="0.3">
      <c r="A8" s="68" t="s">
        <v>15</v>
      </c>
      <c r="B8" s="9" t="s">
        <v>14</v>
      </c>
      <c r="C8" s="10">
        <v>3.9</v>
      </c>
      <c r="D8" s="10">
        <v>0.8</v>
      </c>
      <c r="E8" s="10">
        <v>0.85</v>
      </c>
      <c r="F8" s="10">
        <v>0.55000000000000004</v>
      </c>
    </row>
    <row r="9" spans="1:6" ht="32.25" thickBot="1" x14ac:dyDescent="0.3">
      <c r="A9" s="68" t="s">
        <v>17</v>
      </c>
      <c r="B9" s="9" t="s">
        <v>16</v>
      </c>
      <c r="C9" s="10">
        <v>3.6</v>
      </c>
      <c r="D9" s="10">
        <v>0.78</v>
      </c>
      <c r="E9" s="10">
        <v>0.83</v>
      </c>
      <c r="F9" s="10">
        <v>0.42</v>
      </c>
    </row>
    <row r="10" spans="1:6" ht="32.25" thickBot="1" x14ac:dyDescent="0.3">
      <c r="A10" s="68" t="s">
        <v>20</v>
      </c>
      <c r="B10" s="11" t="s">
        <v>18</v>
      </c>
      <c r="C10" s="12">
        <v>3.2</v>
      </c>
      <c r="D10" s="12">
        <v>0.75</v>
      </c>
      <c r="E10" s="12">
        <v>0.8</v>
      </c>
      <c r="F10" s="12" t="s">
        <v>19</v>
      </c>
    </row>
    <row r="11" spans="1:6" ht="32.25" thickBot="1" x14ac:dyDescent="0.3">
      <c r="A11" s="68" t="s">
        <v>22</v>
      </c>
      <c r="B11" s="11" t="s">
        <v>21</v>
      </c>
      <c r="C11" s="12">
        <v>2.9</v>
      </c>
      <c r="D11" s="12">
        <v>0.7</v>
      </c>
      <c r="E11" s="12">
        <v>0.75</v>
      </c>
      <c r="F11" s="12" t="s">
        <v>19</v>
      </c>
    </row>
    <row r="12" spans="1:6" ht="32.25" thickBot="1" x14ac:dyDescent="0.3">
      <c r="A12" s="68" t="s">
        <v>24</v>
      </c>
      <c r="B12" s="11" t="s">
        <v>23</v>
      </c>
      <c r="C12" s="12">
        <v>2.6</v>
      </c>
      <c r="D12" s="12">
        <v>0.65</v>
      </c>
      <c r="E12" s="12">
        <v>0.7</v>
      </c>
      <c r="F12" s="12" t="s">
        <v>19</v>
      </c>
    </row>
    <row r="13" spans="1:6" ht="16.5" thickBot="1" x14ac:dyDescent="0.3">
      <c r="A13" s="68" t="s">
        <v>26</v>
      </c>
      <c r="B13" s="13" t="s">
        <v>25</v>
      </c>
      <c r="C13" s="14">
        <v>4.5</v>
      </c>
      <c r="D13" s="14">
        <v>0.9</v>
      </c>
      <c r="E13" s="14">
        <v>0.95</v>
      </c>
      <c r="F13" s="14" t="s">
        <v>19</v>
      </c>
    </row>
    <row r="14" spans="1:6" ht="16.5" thickBot="1" x14ac:dyDescent="0.3">
      <c r="A14" s="68" t="s">
        <v>28</v>
      </c>
      <c r="B14" s="13" t="s">
        <v>27</v>
      </c>
      <c r="C14" s="14">
        <v>3.5</v>
      </c>
      <c r="D14" s="14">
        <v>0.9</v>
      </c>
      <c r="E14" s="14">
        <v>0.85</v>
      </c>
      <c r="F14" s="14" t="s">
        <v>19</v>
      </c>
    </row>
    <row r="15" spans="1:6" s="62" customFormat="1" ht="48" thickBot="1" x14ac:dyDescent="0.3">
      <c r="A15" s="68" t="s">
        <v>184</v>
      </c>
      <c r="B15" s="7" t="s">
        <v>167</v>
      </c>
      <c r="C15" s="8">
        <v>4.9000000000000004</v>
      </c>
      <c r="D15" s="8">
        <v>0.95</v>
      </c>
      <c r="E15" s="8">
        <v>1</v>
      </c>
      <c r="F15" s="8">
        <v>0.9</v>
      </c>
    </row>
    <row r="16" spans="1:6" s="62" customFormat="1" ht="32.25" thickBot="1" x14ac:dyDescent="0.3">
      <c r="A16" s="68" t="s">
        <v>177</v>
      </c>
      <c r="B16" s="7" t="s">
        <v>168</v>
      </c>
      <c r="C16" s="8">
        <v>4.5999999999999996</v>
      </c>
      <c r="D16" s="8">
        <v>0.9</v>
      </c>
      <c r="E16" s="8">
        <v>0.95</v>
      </c>
      <c r="F16" s="8">
        <v>0.8</v>
      </c>
    </row>
    <row r="17" spans="1:6" s="62" customFormat="1" ht="32.25" thickBot="1" x14ac:dyDescent="0.3">
      <c r="A17" s="68" t="s">
        <v>178</v>
      </c>
      <c r="B17" s="9" t="s">
        <v>169</v>
      </c>
      <c r="C17" s="10">
        <v>4.3</v>
      </c>
      <c r="D17" s="10">
        <v>0.85</v>
      </c>
      <c r="E17" s="10">
        <v>0.9</v>
      </c>
      <c r="F17" s="10">
        <v>0.7</v>
      </c>
    </row>
    <row r="18" spans="1:6" s="62" customFormat="1" ht="32.25" thickBot="1" x14ac:dyDescent="0.3">
      <c r="A18" s="68" t="s">
        <v>179</v>
      </c>
      <c r="B18" s="9" t="s">
        <v>170</v>
      </c>
      <c r="C18" s="10">
        <v>3.9</v>
      </c>
      <c r="D18" s="10">
        <v>0.8</v>
      </c>
      <c r="E18" s="10">
        <v>0.85</v>
      </c>
      <c r="F18" s="10">
        <v>0.55000000000000004</v>
      </c>
    </row>
    <row r="19" spans="1:6" s="62" customFormat="1" ht="32.25" thickBot="1" x14ac:dyDescent="0.3">
      <c r="A19" s="68" t="s">
        <v>180</v>
      </c>
      <c r="B19" s="9" t="s">
        <v>171</v>
      </c>
      <c r="C19" s="10">
        <v>3.6</v>
      </c>
      <c r="D19" s="10">
        <v>0.78</v>
      </c>
      <c r="E19" s="10">
        <v>0.83</v>
      </c>
      <c r="F19" s="10">
        <v>0.42</v>
      </c>
    </row>
    <row r="20" spans="1:6" s="62" customFormat="1" ht="32.25" thickBot="1" x14ac:dyDescent="0.3">
      <c r="A20" s="68" t="s">
        <v>181</v>
      </c>
      <c r="B20" s="11" t="s">
        <v>172</v>
      </c>
      <c r="C20" s="12">
        <v>3.2</v>
      </c>
      <c r="D20" s="12">
        <v>0.75</v>
      </c>
      <c r="E20" s="12">
        <v>0.8</v>
      </c>
      <c r="F20" s="12" t="s">
        <v>19</v>
      </c>
    </row>
    <row r="21" spans="1:6" s="62" customFormat="1" ht="32.25" thickBot="1" x14ac:dyDescent="0.3">
      <c r="A21" s="68" t="s">
        <v>182</v>
      </c>
      <c r="B21" s="11" t="s">
        <v>173</v>
      </c>
      <c r="C21" s="12">
        <v>2.9</v>
      </c>
      <c r="D21" s="12">
        <v>0.7</v>
      </c>
      <c r="E21" s="12">
        <v>0.75</v>
      </c>
      <c r="F21" s="12" t="s">
        <v>19</v>
      </c>
    </row>
    <row r="22" spans="1:6" s="62" customFormat="1" ht="32.25" thickBot="1" x14ac:dyDescent="0.3">
      <c r="A22" s="68" t="s">
        <v>183</v>
      </c>
      <c r="B22" s="11" t="s">
        <v>174</v>
      </c>
      <c r="C22" s="12">
        <v>2.6</v>
      </c>
      <c r="D22" s="12">
        <v>0.65</v>
      </c>
      <c r="E22" s="12">
        <v>0.7</v>
      </c>
      <c r="F22" s="12" t="s">
        <v>19</v>
      </c>
    </row>
    <row r="23" spans="1:6" s="62" customFormat="1" ht="32.25" thickBot="1" x14ac:dyDescent="0.3">
      <c r="A23" s="68" t="s">
        <v>176</v>
      </c>
      <c r="B23" s="13" t="s">
        <v>175</v>
      </c>
      <c r="C23" s="14">
        <v>3.5</v>
      </c>
      <c r="D23" s="14">
        <v>0.9</v>
      </c>
      <c r="E23" s="14">
        <v>0.85</v>
      </c>
      <c r="F23" s="14" t="s">
        <v>19</v>
      </c>
    </row>
    <row r="24" spans="1:6" s="62" customFormat="1" ht="16.5" thickBot="1" x14ac:dyDescent="0.3">
      <c r="A24" s="68" t="s">
        <v>162</v>
      </c>
      <c r="B24" s="13" t="s">
        <v>138</v>
      </c>
      <c r="C24" s="14">
        <v>3</v>
      </c>
      <c r="D24" s="14">
        <v>0.75</v>
      </c>
      <c r="E24" s="14">
        <v>0.8</v>
      </c>
      <c r="F24" s="14">
        <v>0.8</v>
      </c>
    </row>
    <row r="25" spans="1:6" ht="48" thickBot="1" x14ac:dyDescent="0.3">
      <c r="A25" s="68" t="s">
        <v>30</v>
      </c>
      <c r="B25" s="15" t="s">
        <v>29</v>
      </c>
      <c r="C25" s="16">
        <v>3</v>
      </c>
      <c r="D25" s="16">
        <v>0.75</v>
      </c>
      <c r="E25" s="16">
        <v>0.8</v>
      </c>
      <c r="F25" s="16" t="s">
        <v>19</v>
      </c>
    </row>
    <row r="26" spans="1:6" ht="48" thickBot="1" x14ac:dyDescent="0.3">
      <c r="A26" s="68" t="s">
        <v>32</v>
      </c>
      <c r="B26" s="15" t="s">
        <v>31</v>
      </c>
      <c r="C26" s="16">
        <v>2.5</v>
      </c>
      <c r="D26" s="16">
        <v>0.65</v>
      </c>
      <c r="E26" s="16">
        <v>0.7</v>
      </c>
      <c r="F26" s="16"/>
    </row>
    <row r="27" spans="1:6" ht="32.25" thickBot="1" x14ac:dyDescent="0.3">
      <c r="A27" s="68" t="s">
        <v>34</v>
      </c>
      <c r="B27" s="15" t="s">
        <v>33</v>
      </c>
      <c r="C27" s="16">
        <v>2</v>
      </c>
      <c r="D27" s="16">
        <v>0.6</v>
      </c>
      <c r="E27" s="16">
        <v>0.65</v>
      </c>
      <c r="F27" s="16"/>
    </row>
    <row r="28" spans="1:6" ht="48" thickBot="1" x14ac:dyDescent="0.3">
      <c r="A28" s="68" t="s">
        <v>36</v>
      </c>
      <c r="B28" s="15" t="s">
        <v>35</v>
      </c>
      <c r="C28" s="16">
        <v>2.2999999999999998</v>
      </c>
      <c r="D28" s="16">
        <v>0.6</v>
      </c>
      <c r="E28" s="16">
        <v>0.65</v>
      </c>
      <c r="F28" s="16" t="s">
        <v>19</v>
      </c>
    </row>
    <row r="29" spans="1:6" ht="32.25" thickBot="1" x14ac:dyDescent="0.3">
      <c r="A29" s="68" t="s">
        <v>38</v>
      </c>
      <c r="B29" s="15" t="s">
        <v>37</v>
      </c>
      <c r="C29" s="16">
        <v>1.9</v>
      </c>
      <c r="D29" s="16">
        <v>0.55000000000000004</v>
      </c>
      <c r="E29" s="16">
        <v>0.6</v>
      </c>
      <c r="F29" s="16" t="s">
        <v>19</v>
      </c>
    </row>
    <row r="30" spans="1:6" ht="32.25" thickBot="1" x14ac:dyDescent="0.3">
      <c r="A30" s="68" t="s">
        <v>40</v>
      </c>
      <c r="B30" s="15" t="s">
        <v>39</v>
      </c>
      <c r="C30" s="16">
        <v>1.6</v>
      </c>
      <c r="D30" s="16">
        <v>0.5</v>
      </c>
      <c r="E30" s="16">
        <v>0.55000000000000004</v>
      </c>
      <c r="F30" s="16" t="s">
        <v>19</v>
      </c>
    </row>
    <row r="31" spans="1:6" ht="32.25" thickBot="1" x14ac:dyDescent="0.3">
      <c r="A31" s="68" t="s">
        <v>42</v>
      </c>
      <c r="B31" s="17" t="s">
        <v>41</v>
      </c>
      <c r="C31" s="18">
        <v>5</v>
      </c>
      <c r="D31" s="18"/>
      <c r="E31" s="18"/>
      <c r="F31" s="18"/>
    </row>
    <row r="32" spans="1:6" ht="32.25" thickBot="1" x14ac:dyDescent="0.3">
      <c r="A32" s="68" t="s">
        <v>44</v>
      </c>
      <c r="B32" s="17" t="s">
        <v>43</v>
      </c>
      <c r="C32" s="18">
        <v>5</v>
      </c>
      <c r="D32" s="18"/>
      <c r="E32" s="18"/>
      <c r="F32" s="18"/>
    </row>
    <row r="33" spans="1:6" ht="32.25" thickBot="1" x14ac:dyDescent="0.3">
      <c r="A33" s="68" t="s">
        <v>46</v>
      </c>
      <c r="B33" s="17" t="s">
        <v>45</v>
      </c>
      <c r="C33" s="18">
        <v>5</v>
      </c>
      <c r="D33" s="18"/>
      <c r="E33" s="18"/>
      <c r="F33" s="18"/>
    </row>
    <row r="34" spans="1:6" ht="32.25" thickBot="1" x14ac:dyDescent="0.3">
      <c r="A34" s="68" t="s">
        <v>48</v>
      </c>
      <c r="B34" s="17" t="s">
        <v>47</v>
      </c>
      <c r="C34" s="18">
        <v>5</v>
      </c>
      <c r="D34" s="18"/>
      <c r="E34" s="18"/>
      <c r="F34" s="18"/>
    </row>
    <row r="35" spans="1:6" ht="32.25" thickBot="1" x14ac:dyDescent="0.3">
      <c r="A35" s="68" t="s">
        <v>50</v>
      </c>
      <c r="B35" s="17" t="s">
        <v>49</v>
      </c>
      <c r="C35" s="18">
        <v>5</v>
      </c>
      <c r="D35" s="18"/>
      <c r="E35" s="18"/>
      <c r="F35" s="18"/>
    </row>
    <row r="36" spans="1:6" ht="32.25" thickBot="1" x14ac:dyDescent="0.3">
      <c r="A36" s="68" t="s">
        <v>52</v>
      </c>
      <c r="B36" s="17" t="s">
        <v>51</v>
      </c>
      <c r="C36" s="18">
        <v>5</v>
      </c>
      <c r="D36" s="18"/>
      <c r="E36" s="18"/>
      <c r="F36" s="18"/>
    </row>
    <row r="37" spans="1:6" ht="32.25" thickBot="1" x14ac:dyDescent="0.3">
      <c r="A37" s="68" t="s">
        <v>54</v>
      </c>
      <c r="B37" s="17" t="s">
        <v>53</v>
      </c>
      <c r="C37" s="18">
        <v>5</v>
      </c>
      <c r="D37" s="18"/>
      <c r="E37" s="18"/>
      <c r="F37" s="18"/>
    </row>
    <row r="38" spans="1:6" ht="32.25" thickBot="1" x14ac:dyDescent="0.3">
      <c r="A38" s="68" t="s">
        <v>56</v>
      </c>
      <c r="B38" s="19" t="s">
        <v>55</v>
      </c>
      <c r="C38" s="20">
        <v>1.2</v>
      </c>
      <c r="D38" s="20">
        <v>0.45</v>
      </c>
      <c r="E38" s="20">
        <v>0.5</v>
      </c>
      <c r="F38" s="20">
        <v>0.35</v>
      </c>
    </row>
    <row r="39" spans="1:6" ht="32.25" thickBot="1" x14ac:dyDescent="0.3">
      <c r="A39" s="68" t="s">
        <v>58</v>
      </c>
      <c r="B39" s="19" t="s">
        <v>57</v>
      </c>
      <c r="C39" s="20">
        <v>0.9</v>
      </c>
      <c r="D39" s="20">
        <v>0.4</v>
      </c>
      <c r="E39" s="20">
        <v>0.45</v>
      </c>
      <c r="F39" s="20">
        <v>0.3</v>
      </c>
    </row>
    <row r="40" spans="1:6" ht="32.25" thickBot="1" x14ac:dyDescent="0.3">
      <c r="A40" s="68" t="s">
        <v>60</v>
      </c>
      <c r="B40" s="19" t="s">
        <v>59</v>
      </c>
      <c r="C40" s="20">
        <v>0.5</v>
      </c>
      <c r="D40" s="20">
        <v>0.35</v>
      </c>
      <c r="E40" s="20">
        <v>0.4</v>
      </c>
      <c r="F40" s="20">
        <v>0.25</v>
      </c>
    </row>
    <row r="41" spans="1:6" ht="63.75" thickBot="1" x14ac:dyDescent="0.3">
      <c r="A41" s="68" t="s">
        <v>62</v>
      </c>
      <c r="B41" s="9" t="s">
        <v>61</v>
      </c>
      <c r="C41" s="10">
        <v>1.2</v>
      </c>
      <c r="D41" s="10">
        <v>0.45</v>
      </c>
      <c r="E41" s="10">
        <v>0.5</v>
      </c>
      <c r="F41" s="10">
        <v>0.35</v>
      </c>
    </row>
    <row r="42" spans="1:6" ht="63.75" thickBot="1" x14ac:dyDescent="0.3">
      <c r="A42" s="68" t="s">
        <v>64</v>
      </c>
      <c r="B42" s="9" t="s">
        <v>63</v>
      </c>
      <c r="C42" s="10">
        <v>0.9</v>
      </c>
      <c r="D42" s="10">
        <v>0.4</v>
      </c>
      <c r="E42" s="10">
        <v>0.45</v>
      </c>
      <c r="F42" s="10">
        <v>0.3</v>
      </c>
    </row>
    <row r="43" spans="1:6" ht="63.75" thickBot="1" x14ac:dyDescent="0.3">
      <c r="A43" s="68" t="s">
        <v>66</v>
      </c>
      <c r="B43" s="9" t="s">
        <v>65</v>
      </c>
      <c r="C43" s="10">
        <v>0.5</v>
      </c>
      <c r="D43" s="10">
        <v>0.35</v>
      </c>
      <c r="E43" s="10">
        <v>0.4</v>
      </c>
      <c r="F43" s="10">
        <v>0.25</v>
      </c>
    </row>
    <row r="44" spans="1:6" ht="32.25" thickBot="1" x14ac:dyDescent="0.3">
      <c r="A44" s="68" t="s">
        <v>68</v>
      </c>
      <c r="B44" s="21" t="s">
        <v>67</v>
      </c>
      <c r="C44" s="22">
        <v>4.5</v>
      </c>
      <c r="D44" s="22">
        <v>0.85</v>
      </c>
      <c r="E44" s="22">
        <v>0.9</v>
      </c>
      <c r="F44" s="22" t="s">
        <v>19</v>
      </c>
    </row>
    <row r="45" spans="1:6" ht="32.25" thickBot="1" x14ac:dyDescent="0.3">
      <c r="A45" s="68" t="s">
        <v>70</v>
      </c>
      <c r="B45" s="21" t="s">
        <v>69</v>
      </c>
      <c r="C45" s="22">
        <v>3.5</v>
      </c>
      <c r="D45" s="22">
        <v>0.75</v>
      </c>
      <c r="E45" s="22">
        <v>0.8</v>
      </c>
      <c r="F45" s="22" t="s">
        <v>19</v>
      </c>
    </row>
    <row r="46" spans="1:6" ht="16.5" thickBot="1" x14ac:dyDescent="0.3">
      <c r="A46" s="68" t="s">
        <v>72</v>
      </c>
      <c r="B46" s="21" t="s">
        <v>71</v>
      </c>
      <c r="C46" s="22">
        <v>2.7</v>
      </c>
      <c r="D46" s="22">
        <v>0.65</v>
      </c>
      <c r="E46" s="22">
        <v>0.7</v>
      </c>
      <c r="F46" s="22" t="s">
        <v>19</v>
      </c>
    </row>
    <row r="47" spans="1:6" ht="16.5" thickBot="1" x14ac:dyDescent="0.3">
      <c r="A47" s="68" t="s">
        <v>74</v>
      </c>
      <c r="B47" s="21" t="s">
        <v>73</v>
      </c>
      <c r="C47" s="22">
        <v>2.2000000000000002</v>
      </c>
      <c r="D47" s="22">
        <v>0.6</v>
      </c>
      <c r="E47" s="22">
        <v>0.65</v>
      </c>
      <c r="F47" s="22" t="s">
        <v>19</v>
      </c>
    </row>
    <row r="48" spans="1:6" ht="32.25" thickBot="1" x14ac:dyDescent="0.3">
      <c r="A48" s="68" t="s">
        <v>76</v>
      </c>
      <c r="B48" s="24" t="s">
        <v>75</v>
      </c>
      <c r="C48" s="25">
        <v>3</v>
      </c>
      <c r="D48" s="25">
        <v>0.75</v>
      </c>
      <c r="E48" s="25">
        <v>0.8</v>
      </c>
      <c r="F48" s="25" t="s">
        <v>19</v>
      </c>
    </row>
    <row r="49" spans="1:6" s="62" customFormat="1" ht="16.5" thickBot="1" x14ac:dyDescent="0.3">
      <c r="A49" s="144" t="s">
        <v>185</v>
      </c>
      <c r="B49" s="52" t="s">
        <v>186</v>
      </c>
      <c r="C49" s="53">
        <v>3</v>
      </c>
      <c r="D49" s="53">
        <v>0.75</v>
      </c>
      <c r="E49" s="53">
        <v>0.8</v>
      </c>
      <c r="F49" s="53" t="s">
        <v>19</v>
      </c>
    </row>
    <row r="50" spans="1:6" ht="16.5" thickBot="1" x14ac:dyDescent="0.3">
      <c r="A50" s="68" t="s">
        <v>78</v>
      </c>
      <c r="B50" s="24" t="s">
        <v>77</v>
      </c>
      <c r="C50" s="25">
        <v>2</v>
      </c>
      <c r="D50" s="25">
        <v>0.6</v>
      </c>
      <c r="E50" s="25">
        <v>0.65</v>
      </c>
      <c r="F50" s="25">
        <v>0.42</v>
      </c>
    </row>
    <row r="51" spans="1:6" s="28" customFormat="1" ht="16.5" thickBot="1" x14ac:dyDescent="0.3">
      <c r="A51" s="28" t="s">
        <v>101</v>
      </c>
      <c r="B51" s="52" t="s">
        <v>102</v>
      </c>
      <c r="C51" s="53">
        <v>0</v>
      </c>
      <c r="D51" s="53">
        <v>0</v>
      </c>
      <c r="E51" s="53">
        <v>0</v>
      </c>
      <c r="F51" s="53">
        <v>0</v>
      </c>
    </row>
    <row r="52" spans="1:6" ht="16.5" thickBot="1" x14ac:dyDescent="0.3">
      <c r="A52" t="s">
        <v>79</v>
      </c>
      <c r="B52" s="26" t="s">
        <v>99</v>
      </c>
      <c r="C52" s="27">
        <v>0</v>
      </c>
      <c r="D52" s="27">
        <v>0</v>
      </c>
      <c r="E52" s="27">
        <v>0</v>
      </c>
      <c r="F52" s="27">
        <v>0</v>
      </c>
    </row>
    <row r="53" spans="1:6" ht="16.5" thickBot="1" x14ac:dyDescent="0.3">
      <c r="A53" t="s">
        <v>95</v>
      </c>
      <c r="B53" s="26" t="s">
        <v>100</v>
      </c>
      <c r="C53" s="27">
        <v>0</v>
      </c>
      <c r="D53" s="27">
        <v>0</v>
      </c>
      <c r="E53" s="27">
        <v>0</v>
      </c>
      <c r="F53" s="27">
        <v>0</v>
      </c>
    </row>
    <row r="54" spans="1:6" ht="16.5" thickBot="1" x14ac:dyDescent="0.3">
      <c r="A54" t="s">
        <v>96</v>
      </c>
      <c r="B54" s="26" t="s">
        <v>98</v>
      </c>
      <c r="C54" s="27">
        <v>0.5</v>
      </c>
      <c r="D54" s="27">
        <v>0.35</v>
      </c>
      <c r="E54" s="27">
        <v>0.4</v>
      </c>
      <c r="F54" s="27">
        <v>0.25</v>
      </c>
    </row>
    <row r="55" spans="1:6" s="62" customFormat="1" ht="48" thickBot="1" x14ac:dyDescent="0.3">
      <c r="A55" s="68" t="s">
        <v>113</v>
      </c>
      <c r="B55" s="66" t="s">
        <v>139</v>
      </c>
      <c r="C55" s="67">
        <v>4.9000000000000004</v>
      </c>
      <c r="D55" s="67"/>
      <c r="E55" s="67"/>
      <c r="F55" s="67"/>
    </row>
    <row r="56" spans="1:6" s="62" customFormat="1" ht="48" thickBot="1" x14ac:dyDescent="0.3">
      <c r="A56" s="68" t="s">
        <v>114</v>
      </c>
      <c r="B56" s="66" t="s">
        <v>140</v>
      </c>
      <c r="C56" s="67">
        <v>4.5999999999999996</v>
      </c>
      <c r="D56" s="67"/>
      <c r="E56" s="67"/>
      <c r="F56" s="67"/>
    </row>
    <row r="57" spans="1:6" s="62" customFormat="1" ht="48" thickBot="1" x14ac:dyDescent="0.3">
      <c r="A57" s="68" t="s">
        <v>115</v>
      </c>
      <c r="B57" s="66" t="s">
        <v>141</v>
      </c>
      <c r="C57" s="67">
        <v>4.3</v>
      </c>
      <c r="D57" s="67"/>
      <c r="E57" s="67"/>
      <c r="F57" s="67"/>
    </row>
    <row r="58" spans="1:6" s="62" customFormat="1" ht="48" thickBot="1" x14ac:dyDescent="0.3">
      <c r="A58" s="68" t="s">
        <v>116</v>
      </c>
      <c r="B58" s="66" t="s">
        <v>142</v>
      </c>
      <c r="C58" s="67">
        <v>3.5</v>
      </c>
      <c r="D58" s="67"/>
      <c r="E58" s="67"/>
      <c r="F58" s="67"/>
    </row>
    <row r="59" spans="1:6" s="62" customFormat="1" ht="48" thickBot="1" x14ac:dyDescent="0.3">
      <c r="A59" s="68" t="s">
        <v>117</v>
      </c>
      <c r="B59" s="66" t="s">
        <v>143</v>
      </c>
      <c r="C59" s="67">
        <v>2.5</v>
      </c>
      <c r="D59" s="67"/>
      <c r="E59" s="67"/>
      <c r="F59" s="67"/>
    </row>
    <row r="60" spans="1:6" s="62" customFormat="1" ht="48" thickBot="1" x14ac:dyDescent="0.3">
      <c r="A60" s="68" t="s">
        <v>103</v>
      </c>
      <c r="B60" s="69" t="s">
        <v>144</v>
      </c>
      <c r="C60" s="70">
        <v>4.9000000000000004</v>
      </c>
      <c r="D60" s="70"/>
      <c r="E60" s="70"/>
      <c r="F60" s="70"/>
    </row>
    <row r="61" spans="1:6" s="62" customFormat="1" ht="48" thickBot="1" x14ac:dyDescent="0.3">
      <c r="A61" s="68" t="s">
        <v>104</v>
      </c>
      <c r="B61" s="69" t="s">
        <v>145</v>
      </c>
      <c r="C61" s="70">
        <v>4.5999999999999996</v>
      </c>
      <c r="D61" s="70"/>
      <c r="E61" s="70"/>
      <c r="F61" s="70"/>
    </row>
    <row r="62" spans="1:6" s="62" customFormat="1" ht="48" thickBot="1" x14ac:dyDescent="0.3">
      <c r="A62" s="68" t="s">
        <v>105</v>
      </c>
      <c r="B62" s="69" t="s">
        <v>146</v>
      </c>
      <c r="C62" s="70">
        <v>4.3</v>
      </c>
      <c r="D62" s="70"/>
      <c r="E62" s="70"/>
      <c r="F62" s="70"/>
    </row>
    <row r="63" spans="1:6" s="62" customFormat="1" ht="48" thickBot="1" x14ac:dyDescent="0.3">
      <c r="A63" s="68" t="s">
        <v>106</v>
      </c>
      <c r="B63" s="69" t="s">
        <v>147</v>
      </c>
      <c r="C63" s="70">
        <v>3.5</v>
      </c>
      <c r="D63" s="70"/>
      <c r="E63" s="70"/>
      <c r="F63" s="70"/>
    </row>
    <row r="64" spans="1:6" s="62" customFormat="1" ht="48" thickBot="1" x14ac:dyDescent="0.3">
      <c r="A64" s="68" t="s">
        <v>107</v>
      </c>
      <c r="B64" s="69" t="s">
        <v>148</v>
      </c>
      <c r="C64" s="70">
        <v>2.5</v>
      </c>
      <c r="D64" s="70"/>
      <c r="E64" s="70"/>
      <c r="F64" s="70"/>
    </row>
    <row r="65" spans="1:6" s="62" customFormat="1" ht="16.5" thickBot="1" x14ac:dyDescent="0.3">
      <c r="A65" s="68" t="s">
        <v>165</v>
      </c>
      <c r="B65" s="69" t="s">
        <v>166</v>
      </c>
      <c r="C65" s="70">
        <v>2.5</v>
      </c>
      <c r="D65" s="70"/>
      <c r="E65" s="70"/>
      <c r="F65" s="70"/>
    </row>
    <row r="66" spans="1:6" s="62" customFormat="1" ht="48" thickBot="1" x14ac:dyDescent="0.3">
      <c r="A66" s="68" t="s">
        <v>110</v>
      </c>
      <c r="B66" s="71" t="s">
        <v>149</v>
      </c>
      <c r="C66" s="72">
        <v>0</v>
      </c>
      <c r="D66" s="72"/>
      <c r="E66" s="72"/>
      <c r="F66" s="72"/>
    </row>
    <row r="67" spans="1:6" s="62" customFormat="1" ht="48" thickBot="1" x14ac:dyDescent="0.3">
      <c r="A67" s="68" t="s">
        <v>111</v>
      </c>
      <c r="B67" s="71" t="s">
        <v>150</v>
      </c>
      <c r="C67" s="72">
        <v>0</v>
      </c>
      <c r="D67" s="72"/>
      <c r="E67" s="72"/>
      <c r="F67" s="72"/>
    </row>
    <row r="68" spans="1:6" s="62" customFormat="1" ht="48" thickBot="1" x14ac:dyDescent="0.3">
      <c r="A68" s="68" t="s">
        <v>109</v>
      </c>
      <c r="B68" s="71" t="s">
        <v>151</v>
      </c>
      <c r="C68" s="72">
        <v>0</v>
      </c>
      <c r="D68" s="72"/>
      <c r="E68" s="72"/>
      <c r="F68" s="72"/>
    </row>
    <row r="69" spans="1:6" s="62" customFormat="1" ht="48" thickBot="1" x14ac:dyDescent="0.3">
      <c r="A69" s="68" t="s">
        <v>108</v>
      </c>
      <c r="B69" s="71" t="s">
        <v>152</v>
      </c>
      <c r="C69" s="72">
        <v>0</v>
      </c>
      <c r="D69" s="72"/>
      <c r="E69" s="72"/>
      <c r="F69" s="72"/>
    </row>
    <row r="70" spans="1:6" s="62" customFormat="1" ht="48" thickBot="1" x14ac:dyDescent="0.3">
      <c r="A70" s="68" t="s">
        <v>112</v>
      </c>
      <c r="B70" s="71" t="s">
        <v>153</v>
      </c>
      <c r="C70" s="72">
        <v>0</v>
      </c>
      <c r="D70" s="72"/>
      <c r="E70" s="72"/>
      <c r="F70" s="72"/>
    </row>
    <row r="71" spans="1:6" s="62" customFormat="1" ht="32.25" thickBot="1" x14ac:dyDescent="0.3">
      <c r="A71" s="68" t="s">
        <v>163</v>
      </c>
      <c r="B71" s="71" t="s">
        <v>164</v>
      </c>
      <c r="C71" s="72">
        <v>0</v>
      </c>
      <c r="D71" s="72"/>
      <c r="E71" s="72"/>
      <c r="F71" s="72"/>
    </row>
    <row r="72" spans="1:6" ht="16.5" thickBot="1" x14ac:dyDescent="0.3">
      <c r="A72" t="s">
        <v>89</v>
      </c>
      <c r="B72" s="26" t="s">
        <v>97</v>
      </c>
      <c r="C72" s="27">
        <v>0</v>
      </c>
      <c r="D72" s="27">
        <v>0</v>
      </c>
      <c r="E72" s="27">
        <v>0</v>
      </c>
      <c r="F72" s="27">
        <v>0</v>
      </c>
    </row>
    <row r="75" spans="1:6" x14ac:dyDescent="0.25">
      <c r="A75" t="s">
        <v>187</v>
      </c>
      <c r="B75" s="23">
        <v>1.25</v>
      </c>
      <c r="C75">
        <v>345</v>
      </c>
    </row>
    <row r="76" spans="1:6" x14ac:dyDescent="0.25">
      <c r="A76" t="s">
        <v>93</v>
      </c>
      <c r="B76" s="23">
        <v>1</v>
      </c>
      <c r="C76">
        <v>299</v>
      </c>
    </row>
    <row r="77" spans="1:6" x14ac:dyDescent="0.25">
      <c r="A77" t="s">
        <v>91</v>
      </c>
      <c r="B77" s="23">
        <v>1</v>
      </c>
      <c r="C77">
        <v>264</v>
      </c>
    </row>
    <row r="78" spans="1:6" x14ac:dyDescent="0.25">
      <c r="A78" t="s">
        <v>84</v>
      </c>
      <c r="B78" s="23">
        <v>0.83</v>
      </c>
      <c r="C78">
        <v>220</v>
      </c>
    </row>
    <row r="79" spans="1:6" x14ac:dyDescent="0.25">
      <c r="A79" t="s">
        <v>188</v>
      </c>
      <c r="B79" s="23">
        <v>0.67</v>
      </c>
      <c r="C79">
        <v>165</v>
      </c>
    </row>
    <row r="80" spans="1:6" s="62" customFormat="1" x14ac:dyDescent="0.25">
      <c r="A80" s="62" t="s">
        <v>87</v>
      </c>
      <c r="B80" s="23">
        <v>0.67</v>
      </c>
      <c r="C80" s="62">
        <v>165</v>
      </c>
    </row>
    <row r="81" spans="1:3" x14ac:dyDescent="0.25">
      <c r="A81" t="s">
        <v>92</v>
      </c>
      <c r="B81" s="23">
        <v>0.5</v>
      </c>
      <c r="C81">
        <v>110</v>
      </c>
    </row>
    <row r="88" spans="1:3" ht="105.6" customHeight="1" x14ac:dyDescent="0.25">
      <c r="B88" s="74" t="s">
        <v>119</v>
      </c>
    </row>
    <row r="89" spans="1:3" x14ac:dyDescent="0.25">
      <c r="B89" t="s">
        <v>120</v>
      </c>
    </row>
    <row r="90" spans="1:3" x14ac:dyDescent="0.25">
      <c r="B90" t="s">
        <v>121</v>
      </c>
    </row>
    <row r="91" spans="1:3" x14ac:dyDescent="0.25">
      <c r="B91" t="s">
        <v>122</v>
      </c>
    </row>
    <row r="94" spans="1:3" ht="165" x14ac:dyDescent="0.25">
      <c r="B94" s="73" t="s">
        <v>123</v>
      </c>
    </row>
    <row r="95" spans="1:3" x14ac:dyDescent="0.25">
      <c r="B95" t="s">
        <v>124</v>
      </c>
    </row>
    <row r="96" spans="1:3" x14ac:dyDescent="0.25">
      <c r="B96" t="s">
        <v>125</v>
      </c>
    </row>
    <row r="123" spans="2:2" x14ac:dyDescent="0.25">
      <c r="B123" s="79"/>
    </row>
    <row r="124" spans="2:2" x14ac:dyDescent="0.25">
      <c r="B124" s="79"/>
    </row>
    <row r="125" spans="2:2" x14ac:dyDescent="0.25">
      <c r="B125" s="79"/>
    </row>
    <row r="126" spans="2:2" x14ac:dyDescent="0.25">
      <c r="B126" s="79"/>
    </row>
    <row r="127" spans="2:2" x14ac:dyDescent="0.25">
      <c r="B127" s="79"/>
    </row>
    <row r="128" spans="2:2" x14ac:dyDescent="0.25">
      <c r="B128" s="79"/>
    </row>
    <row r="129" spans="2:2" x14ac:dyDescent="0.25">
      <c r="B129" s="79"/>
    </row>
    <row r="130" spans="2:2" x14ac:dyDescent="0.25">
      <c r="B130" s="79"/>
    </row>
    <row r="131" spans="2:2" x14ac:dyDescent="0.25">
      <c r="B131" s="79"/>
    </row>
    <row r="132" spans="2:2" x14ac:dyDescent="0.25">
      <c r="B132" s="79"/>
    </row>
    <row r="133" spans="2:2" x14ac:dyDescent="0.25">
      <c r="B133" s="79"/>
    </row>
    <row r="134" spans="2:2" x14ac:dyDescent="0.25">
      <c r="B134" s="79"/>
    </row>
    <row r="135" spans="2:2" x14ac:dyDescent="0.25">
      <c r="B135" s="79"/>
    </row>
    <row r="136" spans="2:2" x14ac:dyDescent="0.25">
      <c r="B136" s="79"/>
    </row>
    <row r="137" spans="2:2" x14ac:dyDescent="0.25">
      <c r="B137" s="79"/>
    </row>
    <row r="138" spans="2:2" x14ac:dyDescent="0.25">
      <c r="B138" s="79"/>
    </row>
    <row r="139" spans="2:2" x14ac:dyDescent="0.25">
      <c r="B139" s="79"/>
    </row>
    <row r="140" spans="2:2" x14ac:dyDescent="0.25">
      <c r="B140" s="79"/>
    </row>
    <row r="141" spans="2:2" x14ac:dyDescent="0.25">
      <c r="B141" s="79"/>
    </row>
    <row r="142" spans="2:2" x14ac:dyDescent="0.25">
      <c r="B142" s="79"/>
    </row>
    <row r="143" spans="2:2" x14ac:dyDescent="0.25">
      <c r="B143" s="79"/>
    </row>
    <row r="144" spans="2:2" x14ac:dyDescent="0.25">
      <c r="B144" s="79"/>
    </row>
  </sheetData>
  <mergeCells count="1">
    <mergeCell ref="D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Z27"/>
  <sheetViews>
    <sheetView tabSelected="1" zoomScale="60" zoomScaleNormal="60" workbookViewId="0">
      <pane ySplit="1" topLeftCell="A2" activePane="bottomLeft" state="frozen"/>
      <selection pane="bottomLeft" activeCell="E5" sqref="E5"/>
    </sheetView>
  </sheetViews>
  <sheetFormatPr defaultColWidth="8.85546875" defaultRowHeight="15" x14ac:dyDescent="0.25"/>
  <cols>
    <col min="1" max="3" width="2.7109375" style="151" customWidth="1"/>
    <col min="4" max="4" width="10.7109375" style="151" customWidth="1"/>
    <col min="5" max="5" width="45.7109375" style="151" customWidth="1"/>
    <col min="6" max="6" width="9.7109375" style="151" customWidth="1"/>
    <col min="7" max="7" width="15.7109375" style="151" customWidth="1"/>
    <col min="8" max="8" width="25.7109375" style="151" customWidth="1"/>
    <col min="9" max="9" width="15.7109375" style="152" customWidth="1"/>
    <col min="10" max="10" width="70.7109375" style="151" customWidth="1"/>
    <col min="11" max="12" width="12.7109375" style="151" customWidth="1"/>
    <col min="13" max="13" width="13.7109375" style="153" customWidth="1"/>
    <col min="14" max="14" width="20.7109375" style="151" customWidth="1"/>
    <col min="15" max="15" width="5.85546875" style="151" customWidth="1"/>
    <col min="16" max="16" width="20.7109375" style="151" customWidth="1"/>
    <col min="17" max="18" width="65.7109375" style="151" customWidth="1"/>
    <col min="19" max="19" width="13.42578125" style="142" customWidth="1"/>
    <col min="20" max="23" width="20.7109375" style="151" customWidth="1"/>
    <col min="24" max="24" width="8.85546875" style="151" customWidth="1"/>
    <col min="25" max="25" width="8.85546875" style="151"/>
    <col min="26" max="26" width="16.5703125" style="151" customWidth="1"/>
    <col min="27" max="27" width="10.28515625" style="151" bestFit="1" customWidth="1"/>
    <col min="28" max="16384" width="8.85546875" style="151"/>
  </cols>
  <sheetData>
    <row r="1" spans="1:26" s="159" customFormat="1" ht="99.95" customHeight="1" x14ac:dyDescent="0.3">
      <c r="A1" s="157"/>
      <c r="B1" s="157"/>
      <c r="C1" s="157"/>
      <c r="D1" s="155" t="s">
        <v>128</v>
      </c>
      <c r="E1" s="155" t="s">
        <v>129</v>
      </c>
      <c r="F1" s="155" t="s">
        <v>83</v>
      </c>
      <c r="G1" s="155" t="s">
        <v>81</v>
      </c>
      <c r="H1" s="155" t="s">
        <v>131</v>
      </c>
      <c r="I1" s="158" t="s">
        <v>137</v>
      </c>
      <c r="J1" s="155" t="s">
        <v>132</v>
      </c>
      <c r="K1" s="155" t="s">
        <v>80</v>
      </c>
      <c r="L1" s="155" t="s">
        <v>90</v>
      </c>
      <c r="M1" s="155" t="s">
        <v>130</v>
      </c>
      <c r="N1" s="155" t="s">
        <v>131</v>
      </c>
      <c r="O1" s="157"/>
      <c r="P1" s="155" t="s">
        <v>160</v>
      </c>
      <c r="Q1" s="155" t="s">
        <v>126</v>
      </c>
      <c r="R1" s="155" t="s">
        <v>127</v>
      </c>
      <c r="S1" s="176"/>
      <c r="T1" s="156" t="s">
        <v>155</v>
      </c>
      <c r="U1" s="156" t="s">
        <v>156</v>
      </c>
      <c r="V1" s="156" t="s">
        <v>157</v>
      </c>
      <c r="W1" s="156" t="s">
        <v>158</v>
      </c>
      <c r="Z1" s="159" t="str">
        <f ca="1">IFERROR(INDIRECT(CONCATENATE(IF(ISBLANK(#REF!),#REF!,#REF!&amp; "."&amp;#REF!),"!O9")), "маршрута нет")</f>
        <v>маршрута нет</v>
      </c>
    </row>
    <row r="2" spans="1:26" x14ac:dyDescent="0.25">
      <c r="A2" s="140"/>
      <c r="B2" s="140"/>
      <c r="C2" s="140"/>
      <c r="D2" s="137"/>
      <c r="E2" s="146"/>
      <c r="F2" s="146"/>
      <c r="G2" s="146"/>
      <c r="H2" s="146"/>
      <c r="I2" s="147"/>
      <c r="J2" s="143"/>
      <c r="K2" s="148"/>
      <c r="L2" s="148"/>
      <c r="M2" s="149"/>
      <c r="N2" s="141"/>
      <c r="O2" s="150"/>
      <c r="P2" s="141"/>
      <c r="Q2" s="143"/>
      <c r="R2" s="143"/>
      <c r="S2" s="143"/>
      <c r="T2" s="137"/>
      <c r="U2" s="137"/>
      <c r="V2" s="141"/>
      <c r="W2" s="141"/>
    </row>
    <row r="3" spans="1:26" s="170" customFormat="1" x14ac:dyDescent="0.25">
      <c r="A3" s="160"/>
      <c r="B3" s="160"/>
      <c r="C3" s="160"/>
      <c r="D3" s="161"/>
      <c r="E3" s="162"/>
      <c r="F3" s="162"/>
      <c r="G3" s="162"/>
      <c r="H3" s="162"/>
      <c r="I3" s="163"/>
      <c r="J3" s="164"/>
      <c r="K3" s="165"/>
      <c r="L3" s="166"/>
      <c r="M3" s="167"/>
      <c r="N3" s="168"/>
      <c r="O3" s="169"/>
      <c r="P3" s="168"/>
      <c r="Q3" s="164"/>
      <c r="R3" s="164"/>
      <c r="S3" s="164"/>
      <c r="T3" s="161"/>
      <c r="U3" s="161"/>
      <c r="V3" s="168"/>
      <c r="W3" s="168"/>
    </row>
    <row r="4" spans="1:26" s="170" customFormat="1" x14ac:dyDescent="0.25">
      <c r="A4" s="160"/>
      <c r="B4" s="160"/>
      <c r="C4" s="160"/>
      <c r="D4" s="161"/>
      <c r="E4" s="162"/>
      <c r="F4" s="162"/>
      <c r="G4" s="162"/>
      <c r="H4" s="162"/>
      <c r="I4" s="163"/>
      <c r="J4" s="164"/>
      <c r="K4" s="165"/>
      <c r="L4" s="166"/>
      <c r="M4" s="167"/>
      <c r="N4" s="168"/>
      <c r="O4" s="169"/>
      <c r="P4" s="168"/>
      <c r="Q4" s="164"/>
      <c r="R4" s="164"/>
      <c r="S4" s="164"/>
      <c r="T4" s="161"/>
      <c r="U4" s="161"/>
      <c r="V4" s="168"/>
      <c r="W4" s="168"/>
    </row>
    <row r="5" spans="1:26" s="170" customFormat="1" x14ac:dyDescent="0.25">
      <c r="A5" s="160"/>
      <c r="B5" s="160"/>
      <c r="C5" s="160"/>
      <c r="D5" s="171"/>
      <c r="E5" s="162"/>
      <c r="F5" s="162"/>
      <c r="G5" s="162"/>
      <c r="H5" s="162"/>
      <c r="I5" s="163"/>
      <c r="J5" s="164"/>
      <c r="K5" s="165"/>
      <c r="L5" s="166"/>
      <c r="M5" s="167"/>
      <c r="N5" s="168"/>
      <c r="O5" s="169"/>
      <c r="P5" s="168"/>
      <c r="Q5" s="164"/>
      <c r="R5" s="172"/>
      <c r="S5" s="164"/>
      <c r="T5" s="164"/>
      <c r="U5" s="168"/>
      <c r="V5" s="168"/>
      <c r="W5" s="168"/>
    </row>
    <row r="6" spans="1:26" s="170" customFormat="1" x14ac:dyDescent="0.25">
      <c r="A6" s="160"/>
      <c r="B6" s="160"/>
      <c r="C6" s="160"/>
      <c r="D6" s="171"/>
      <c r="E6" s="162"/>
      <c r="F6" s="162"/>
      <c r="G6" s="162"/>
      <c r="H6" s="162"/>
      <c r="I6" s="163"/>
      <c r="J6" s="164"/>
      <c r="K6" s="165"/>
      <c r="L6" s="166"/>
      <c r="M6" s="167"/>
      <c r="N6" s="168"/>
      <c r="O6" s="169"/>
      <c r="P6" s="168"/>
      <c r="Q6" s="173"/>
      <c r="R6" s="172"/>
      <c r="S6" s="168"/>
      <c r="T6" s="168"/>
      <c r="U6" s="168"/>
      <c r="V6" s="168"/>
      <c r="W6" s="168"/>
    </row>
    <row r="7" spans="1:26" s="170" customFormat="1" x14ac:dyDescent="0.25">
      <c r="A7" s="160"/>
      <c r="B7" s="160"/>
      <c r="C7" s="160"/>
      <c r="D7" s="171"/>
      <c r="E7" s="162"/>
      <c r="F7" s="162"/>
      <c r="G7" s="162"/>
      <c r="H7" s="162"/>
      <c r="I7" s="163"/>
      <c r="J7" s="164"/>
      <c r="K7" s="165"/>
      <c r="L7" s="166"/>
      <c r="M7" s="167"/>
      <c r="N7" s="168"/>
      <c r="O7" s="169"/>
      <c r="P7" s="168"/>
      <c r="Q7" s="162"/>
      <c r="R7" s="172"/>
      <c r="S7" s="168"/>
      <c r="T7" s="168"/>
      <c r="U7" s="168"/>
      <c r="V7" s="168"/>
      <c r="W7" s="168"/>
    </row>
    <row r="8" spans="1:26" s="170" customFormat="1" x14ac:dyDescent="0.25">
      <c r="A8" s="160"/>
      <c r="B8" s="160"/>
      <c r="C8" s="160"/>
      <c r="D8" s="171"/>
      <c r="E8" s="162"/>
      <c r="F8" s="162"/>
      <c r="G8" s="162"/>
      <c r="H8" s="162"/>
      <c r="I8" s="163"/>
      <c r="J8" s="164"/>
      <c r="K8" s="165"/>
      <c r="L8" s="166"/>
      <c r="M8" s="167"/>
      <c r="N8" s="168"/>
      <c r="O8" s="169"/>
      <c r="P8" s="168"/>
      <c r="Q8" s="164"/>
      <c r="R8" s="172"/>
      <c r="S8" s="168"/>
      <c r="T8" s="168"/>
      <c r="U8" s="168"/>
      <c r="V8" s="168"/>
      <c r="W8" s="168"/>
    </row>
    <row r="9" spans="1:26" s="170" customFormat="1" x14ac:dyDescent="0.25">
      <c r="A9" s="160"/>
      <c r="B9" s="160"/>
      <c r="C9" s="160"/>
      <c r="D9" s="171"/>
      <c r="E9" s="162"/>
      <c r="F9" s="162"/>
      <c r="G9" s="162"/>
      <c r="H9" s="162"/>
      <c r="I9" s="163"/>
      <c r="J9" s="164"/>
      <c r="K9" s="165"/>
      <c r="L9" s="166"/>
      <c r="M9" s="167"/>
      <c r="N9" s="168"/>
      <c r="O9" s="169"/>
      <c r="P9" s="168"/>
      <c r="Q9" s="162"/>
      <c r="R9" s="172"/>
      <c r="S9" s="168"/>
      <c r="T9" s="168"/>
      <c r="U9" s="168"/>
      <c r="V9" s="168"/>
      <c r="W9" s="168"/>
    </row>
    <row r="10" spans="1:26" s="170" customFormat="1" x14ac:dyDescent="0.25">
      <c r="A10" s="160"/>
      <c r="B10" s="160"/>
      <c r="C10" s="160"/>
      <c r="D10" s="171"/>
      <c r="E10" s="164"/>
      <c r="F10" s="162"/>
      <c r="G10" s="162"/>
      <c r="H10" s="162"/>
      <c r="I10" s="163"/>
      <c r="J10" s="164"/>
      <c r="K10" s="165"/>
      <c r="L10" s="164"/>
      <c r="M10" s="172"/>
      <c r="N10" s="168"/>
      <c r="O10" s="169"/>
      <c r="P10" s="168"/>
      <c r="Q10" s="164"/>
      <c r="R10" s="173"/>
      <c r="S10" s="168"/>
      <c r="T10" s="168"/>
      <c r="U10" s="168"/>
      <c r="V10" s="168"/>
      <c r="W10" s="168"/>
    </row>
    <row r="11" spans="1:26" s="170" customFormat="1" x14ac:dyDescent="0.25">
      <c r="A11" s="160"/>
      <c r="B11" s="160"/>
      <c r="C11" s="160"/>
      <c r="D11" s="161"/>
      <c r="E11" s="162"/>
      <c r="F11" s="162"/>
      <c r="G11" s="162"/>
      <c r="H11" s="162"/>
      <c r="I11" s="163"/>
      <c r="J11" s="164"/>
      <c r="K11" s="165"/>
      <c r="L11" s="166"/>
      <c r="M11" s="167"/>
      <c r="N11" s="168"/>
      <c r="O11" s="169"/>
      <c r="P11" s="164"/>
      <c r="Q11" s="162"/>
      <c r="R11" s="164"/>
      <c r="S11" s="168"/>
      <c r="T11" s="168"/>
      <c r="U11" s="168"/>
      <c r="V11" s="168"/>
      <c r="W11" s="168"/>
    </row>
    <row r="12" spans="1:26" s="170" customFormat="1" x14ac:dyDescent="0.25">
      <c r="A12" s="160"/>
      <c r="B12" s="160"/>
      <c r="C12" s="160"/>
      <c r="D12" s="161"/>
      <c r="E12" s="162"/>
      <c r="F12" s="162"/>
      <c r="G12" s="162"/>
      <c r="H12" s="162"/>
      <c r="I12" s="163"/>
      <c r="J12" s="164"/>
      <c r="K12" s="165"/>
      <c r="L12" s="174"/>
      <c r="M12" s="167"/>
      <c r="N12" s="168"/>
      <c r="O12" s="169"/>
      <c r="P12" s="164"/>
      <c r="Q12" s="164"/>
      <c r="R12" s="162"/>
      <c r="S12" s="164"/>
      <c r="T12" s="164"/>
      <c r="U12" s="168"/>
      <c r="V12" s="168"/>
      <c r="W12" s="168"/>
    </row>
    <row r="13" spans="1:26" s="170" customFormat="1" x14ac:dyDescent="0.25">
      <c r="A13" s="160"/>
      <c r="B13" s="160"/>
      <c r="C13" s="160"/>
      <c r="D13" s="161"/>
      <c r="E13" s="162"/>
      <c r="F13" s="162"/>
      <c r="G13" s="162"/>
      <c r="H13" s="162"/>
      <c r="I13" s="163"/>
      <c r="J13" s="164"/>
      <c r="K13" s="165"/>
      <c r="L13" s="166"/>
      <c r="M13" s="167"/>
      <c r="N13" s="168"/>
      <c r="O13" s="169"/>
      <c r="P13" s="164"/>
      <c r="Q13" s="164"/>
      <c r="R13" s="164"/>
      <c r="S13" s="168"/>
      <c r="T13" s="168"/>
      <c r="U13" s="168"/>
      <c r="V13" s="168"/>
      <c r="W13" s="168"/>
    </row>
    <row r="14" spans="1:26" s="170" customFormat="1" x14ac:dyDescent="0.25">
      <c r="A14" s="160"/>
      <c r="B14" s="160"/>
      <c r="C14" s="160"/>
      <c r="D14" s="161"/>
      <c r="E14" s="164"/>
      <c r="F14" s="162"/>
      <c r="G14" s="162"/>
      <c r="H14" s="162"/>
      <c r="I14" s="163"/>
      <c r="J14" s="164"/>
      <c r="K14" s="165"/>
      <c r="L14" s="166"/>
      <c r="M14" s="167"/>
      <c r="N14" s="168"/>
      <c r="O14" s="169"/>
      <c r="P14" s="164"/>
      <c r="Q14" s="162"/>
      <c r="R14" s="164"/>
      <c r="S14" s="168"/>
      <c r="T14" s="168"/>
      <c r="U14" s="168"/>
      <c r="V14" s="168"/>
      <c r="W14" s="168"/>
    </row>
    <row r="15" spans="1:26" s="170" customFormat="1" x14ac:dyDescent="0.25">
      <c r="A15" s="160"/>
      <c r="B15" s="160"/>
      <c r="C15" s="160"/>
      <c r="D15" s="161"/>
      <c r="E15" s="164"/>
      <c r="F15" s="162"/>
      <c r="G15" s="162"/>
      <c r="H15" s="162"/>
      <c r="I15" s="163"/>
      <c r="J15" s="164"/>
      <c r="K15" s="165"/>
      <c r="L15" s="166"/>
      <c r="M15" s="167"/>
      <c r="N15" s="168"/>
      <c r="O15" s="169"/>
      <c r="P15" s="164"/>
      <c r="Q15" s="164"/>
      <c r="R15" s="164"/>
      <c r="S15" s="168"/>
      <c r="T15" s="168"/>
      <c r="U15" s="168"/>
      <c r="V15" s="168"/>
      <c r="W15" s="168"/>
    </row>
    <row r="16" spans="1:26" s="170" customFormat="1" x14ac:dyDescent="0.25">
      <c r="A16" s="160"/>
      <c r="B16" s="160"/>
      <c r="C16" s="160"/>
      <c r="D16" s="161"/>
      <c r="E16" s="162"/>
      <c r="F16" s="162"/>
      <c r="G16" s="162"/>
      <c r="H16" s="162"/>
      <c r="I16" s="163"/>
      <c r="J16" s="164"/>
      <c r="K16" s="165"/>
      <c r="L16" s="175"/>
      <c r="M16" s="167"/>
      <c r="N16" s="168"/>
      <c r="O16" s="169"/>
      <c r="P16" s="164"/>
      <c r="Q16" s="164"/>
      <c r="R16" s="164"/>
      <c r="S16" s="168"/>
      <c r="T16" s="168"/>
      <c r="U16" s="168"/>
      <c r="V16" s="168"/>
      <c r="W16" s="168"/>
    </row>
    <row r="17" spans="1:23" s="170" customFormat="1" x14ac:dyDescent="0.25">
      <c r="A17" s="160"/>
      <c r="B17" s="160"/>
      <c r="C17" s="160"/>
      <c r="D17" s="161"/>
      <c r="E17" s="162"/>
      <c r="F17" s="162"/>
      <c r="G17" s="162"/>
      <c r="H17" s="162"/>
      <c r="I17" s="163"/>
      <c r="J17" s="164"/>
      <c r="K17" s="165"/>
      <c r="L17" s="175"/>
      <c r="M17" s="167"/>
      <c r="N17" s="168"/>
      <c r="O17" s="169"/>
      <c r="P17" s="164"/>
      <c r="Q17" s="164"/>
      <c r="R17" s="164"/>
      <c r="S17" s="168"/>
      <c r="T17" s="168"/>
      <c r="U17" s="168"/>
      <c r="V17" s="168"/>
      <c r="W17" s="168"/>
    </row>
    <row r="18" spans="1:23" s="170" customFormat="1" x14ac:dyDescent="0.25">
      <c r="A18" s="160"/>
      <c r="B18" s="160"/>
      <c r="C18" s="160"/>
      <c r="D18" s="161"/>
      <c r="E18" s="162"/>
      <c r="F18" s="162"/>
      <c r="G18" s="162"/>
      <c r="H18" s="162"/>
      <c r="I18" s="163"/>
      <c r="J18" s="164"/>
      <c r="K18" s="165"/>
      <c r="L18" s="175"/>
      <c r="M18" s="167"/>
      <c r="N18" s="168"/>
      <c r="O18" s="169"/>
      <c r="P18" s="164"/>
      <c r="Q18" s="162"/>
      <c r="R18" s="164"/>
      <c r="S18" s="168"/>
      <c r="T18" s="168"/>
      <c r="U18" s="168"/>
      <c r="V18" s="168"/>
      <c r="W18" s="168"/>
    </row>
    <row r="19" spans="1:23" s="170" customFormat="1" x14ac:dyDescent="0.25">
      <c r="A19" s="160"/>
      <c r="B19" s="160"/>
      <c r="C19" s="160"/>
      <c r="D19" s="161"/>
      <c r="E19" s="162"/>
      <c r="F19" s="162"/>
      <c r="G19" s="162"/>
      <c r="H19" s="162"/>
      <c r="I19" s="163"/>
      <c r="J19" s="164"/>
      <c r="K19" s="165"/>
      <c r="L19" s="175"/>
      <c r="M19" s="167"/>
      <c r="N19" s="168"/>
      <c r="O19" s="169"/>
      <c r="P19" s="164"/>
      <c r="Q19" s="164"/>
      <c r="R19" s="164"/>
      <c r="S19" s="168"/>
      <c r="T19" s="168"/>
      <c r="U19" s="168"/>
      <c r="V19" s="168"/>
      <c r="W19" s="168"/>
    </row>
    <row r="20" spans="1:23" s="170" customFormat="1" x14ac:dyDescent="0.25">
      <c r="A20" s="160"/>
      <c r="B20" s="160"/>
      <c r="C20" s="160"/>
      <c r="D20" s="161"/>
      <c r="E20" s="162"/>
      <c r="F20" s="162"/>
      <c r="G20" s="162"/>
      <c r="H20" s="162"/>
      <c r="I20" s="163"/>
      <c r="J20" s="164"/>
      <c r="K20" s="165"/>
      <c r="L20" s="175"/>
      <c r="M20" s="167"/>
      <c r="N20" s="168"/>
      <c r="O20" s="169"/>
      <c r="P20" s="164"/>
      <c r="Q20" s="164"/>
      <c r="R20" s="164"/>
      <c r="S20" s="168"/>
      <c r="T20" s="168"/>
      <c r="U20" s="168"/>
      <c r="V20" s="168"/>
      <c r="W20" s="168"/>
    </row>
    <row r="21" spans="1:23" s="170" customFormat="1" x14ac:dyDescent="0.25">
      <c r="A21" s="160"/>
      <c r="B21" s="160"/>
      <c r="C21" s="160"/>
      <c r="D21" s="161"/>
      <c r="E21" s="164"/>
      <c r="F21" s="162"/>
      <c r="G21" s="162"/>
      <c r="H21" s="162"/>
      <c r="I21" s="165"/>
      <c r="J21" s="164"/>
      <c r="K21" s="165"/>
      <c r="L21" s="175"/>
      <c r="M21" s="167"/>
      <c r="N21" s="168"/>
      <c r="O21" s="169"/>
      <c r="P21" s="164"/>
      <c r="Q21" s="164"/>
      <c r="R21" s="164"/>
      <c r="S21" s="168"/>
      <c r="T21" s="168"/>
      <c r="U21" s="168"/>
      <c r="V21" s="168"/>
      <c r="W21" s="168"/>
    </row>
    <row r="22" spans="1:23" s="170" customFormat="1" x14ac:dyDescent="0.25">
      <c r="A22" s="160"/>
      <c r="B22" s="160"/>
      <c r="C22" s="160"/>
      <c r="D22" s="161"/>
      <c r="E22" s="162"/>
      <c r="F22" s="162"/>
      <c r="G22" s="162"/>
      <c r="H22" s="162"/>
      <c r="I22" s="163"/>
      <c r="J22" s="163"/>
      <c r="K22" s="165"/>
      <c r="L22" s="175"/>
      <c r="M22" s="167"/>
      <c r="N22" s="168"/>
      <c r="O22" s="169"/>
      <c r="P22" s="164"/>
      <c r="Q22" s="162"/>
      <c r="R22" s="162"/>
      <c r="S22" s="168"/>
      <c r="T22" s="168"/>
      <c r="U22" s="168"/>
      <c r="V22" s="168"/>
      <c r="W22" s="168"/>
    </row>
    <row r="23" spans="1:23" s="170" customFormat="1" x14ac:dyDescent="0.25">
      <c r="A23" s="160"/>
      <c r="B23" s="160"/>
      <c r="C23" s="160"/>
      <c r="D23" s="161"/>
      <c r="E23" s="162"/>
      <c r="F23" s="162"/>
      <c r="G23" s="162"/>
      <c r="H23" s="162"/>
      <c r="I23" s="163"/>
      <c r="J23" s="163"/>
      <c r="K23" s="165"/>
      <c r="L23" s="175"/>
      <c r="M23" s="167"/>
      <c r="N23" s="168"/>
      <c r="O23" s="169"/>
      <c r="P23" s="168"/>
      <c r="Q23" s="162"/>
      <c r="R23" s="162"/>
      <c r="S23" s="168"/>
      <c r="T23" s="168"/>
      <c r="U23" s="168"/>
      <c r="V23" s="168"/>
      <c r="W23" s="168"/>
    </row>
    <row r="24" spans="1:23" s="170" customFormat="1" x14ac:dyDescent="0.25">
      <c r="A24" s="160"/>
      <c r="B24" s="160"/>
      <c r="C24" s="160"/>
      <c r="D24" s="161"/>
      <c r="E24" s="162"/>
      <c r="F24" s="162"/>
      <c r="G24" s="162"/>
      <c r="H24" s="162"/>
      <c r="I24" s="174"/>
      <c r="J24" s="163"/>
      <c r="K24" s="165"/>
      <c r="L24" s="174"/>
      <c r="M24" s="162"/>
      <c r="N24" s="168"/>
      <c r="O24" s="169"/>
      <c r="P24" s="168"/>
      <c r="Q24" s="162"/>
      <c r="R24" s="162"/>
      <c r="S24" s="168"/>
      <c r="T24" s="168"/>
      <c r="U24" s="168"/>
      <c r="V24" s="168"/>
      <c r="W24" s="168"/>
    </row>
    <row r="25" spans="1:23" s="170" customFormat="1" x14ac:dyDescent="0.25">
      <c r="A25" s="160"/>
      <c r="B25" s="160"/>
      <c r="C25" s="160"/>
      <c r="D25" s="161"/>
      <c r="E25" s="162"/>
      <c r="F25" s="162"/>
      <c r="G25" s="162"/>
      <c r="H25" s="162"/>
      <c r="I25" s="163"/>
      <c r="J25" s="163"/>
      <c r="K25" s="165"/>
      <c r="L25" s="175"/>
      <c r="M25" s="167"/>
      <c r="N25" s="168"/>
      <c r="O25" s="169"/>
      <c r="P25" s="168"/>
      <c r="Q25" s="162"/>
      <c r="R25" s="162"/>
      <c r="S25" s="168"/>
      <c r="T25" s="168"/>
      <c r="U25" s="168"/>
      <c r="V25" s="168"/>
      <c r="W25" s="168"/>
    </row>
    <row r="26" spans="1:23" s="170" customFormat="1" x14ac:dyDescent="0.25">
      <c r="A26" s="160"/>
      <c r="B26" s="160"/>
      <c r="C26" s="160"/>
      <c r="D26" s="161"/>
      <c r="E26" s="162"/>
      <c r="F26" s="162"/>
      <c r="G26" s="162"/>
      <c r="H26" s="162"/>
      <c r="I26" s="163"/>
      <c r="J26" s="163"/>
      <c r="K26" s="165"/>
      <c r="L26" s="175"/>
      <c r="M26" s="167"/>
      <c r="N26" s="168"/>
      <c r="O26" s="169"/>
      <c r="P26" s="164"/>
      <c r="Q26" s="162"/>
      <c r="R26" s="162"/>
      <c r="S26" s="168"/>
      <c r="T26" s="168"/>
      <c r="U26" s="168"/>
      <c r="V26" s="168"/>
      <c r="W26" s="168"/>
    </row>
    <row r="27" spans="1:23" s="170" customFormat="1" x14ac:dyDescent="0.25">
      <c r="A27" s="160"/>
      <c r="B27" s="160"/>
      <c r="C27" s="160"/>
      <c r="D27" s="161"/>
      <c r="E27" s="162"/>
      <c r="F27" s="162"/>
      <c r="G27" s="162"/>
      <c r="H27" s="162"/>
      <c r="I27" s="162"/>
      <c r="J27" s="162"/>
      <c r="K27" s="165"/>
      <c r="L27" s="162"/>
      <c r="M27" s="162"/>
      <c r="N27" s="168"/>
      <c r="O27" s="163"/>
      <c r="P27" s="162"/>
      <c r="Q27" s="162"/>
      <c r="R27" s="162"/>
      <c r="S27" s="168"/>
      <c r="T27" s="168"/>
      <c r="U27" s="168"/>
      <c r="V27" s="168"/>
      <c r="W27" s="168"/>
    </row>
  </sheetData>
  <phoneticPr fontId="13" type="noConversion"/>
  <conditionalFormatting sqref="D1:D1048576">
    <cfRule type="duplicateValues" dxfId="124" priority="6"/>
  </conditionalFormatting>
  <conditionalFormatting sqref="T1:W1048576">
    <cfRule type="expression" dxfId="123" priority="5">
      <formula>NOT(ISBLANK(T1))</formula>
    </cfRule>
  </conditionalFormatting>
  <conditionalFormatting sqref="F1:I1048576">
    <cfRule type="containsBlanks" dxfId="122" priority="8">
      <formula>LEN(TRIM(F1))=0</formula>
    </cfRule>
  </conditionalFormatting>
  <conditionalFormatting sqref="K1:K1048576">
    <cfRule type="containsBlanks" dxfId="121" priority="7">
      <formula>LEN(TRIM(K1))=0</formula>
    </cfRule>
  </conditionalFormatting>
  <conditionalFormatting sqref="L2:L1048576">
    <cfRule type="expression" dxfId="120" priority="2">
      <formula>AND(AE2&lt;&gt;"", AE2&lt;&gt;0)</formula>
    </cfRule>
  </conditionalFormatting>
  <conditionalFormatting sqref="Q1:R1048576">
    <cfRule type="containsBlanks" dxfId="119" priority="1">
      <formula>LEN(TRIM(Q1))=0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L29"/>
  <sheetViews>
    <sheetView workbookViewId="0">
      <selection activeCell="C11" sqref="C11"/>
    </sheetView>
  </sheetViews>
  <sheetFormatPr defaultColWidth="8.85546875" defaultRowHeight="15" x14ac:dyDescent="0.25"/>
  <cols>
    <col min="1" max="1" width="8.85546875" style="62"/>
    <col min="2" max="2" width="48.7109375" style="62" customWidth="1"/>
    <col min="3" max="3" width="9.7109375" style="62" customWidth="1"/>
    <col min="4" max="4" width="19.7109375" style="62" customWidth="1"/>
    <col min="5" max="5" width="17.42578125" style="121" customWidth="1"/>
    <col min="6" max="6" width="15.42578125" style="62" customWidth="1"/>
    <col min="7" max="7" width="19.7109375" style="62" customWidth="1"/>
    <col min="8" max="8" width="22.28515625" customWidth="1"/>
    <col min="9" max="12" width="15.7109375" style="62" customWidth="1"/>
    <col min="13" max="16384" width="8.85546875" style="62"/>
  </cols>
  <sheetData>
    <row r="1" spans="1:12" ht="32.450000000000003" customHeight="1" x14ac:dyDescent="0.25">
      <c r="A1" s="128" t="s">
        <v>128</v>
      </c>
      <c r="B1" s="128" t="s">
        <v>129</v>
      </c>
      <c r="C1" s="128" t="s">
        <v>83</v>
      </c>
      <c r="D1" s="128" t="s">
        <v>81</v>
      </c>
      <c r="E1" s="129" t="s">
        <v>137</v>
      </c>
      <c r="F1" s="128" t="s">
        <v>90</v>
      </c>
      <c r="G1" s="126" t="s">
        <v>131</v>
      </c>
      <c r="I1" s="131" t="s">
        <v>155</v>
      </c>
      <c r="J1" s="131" t="s">
        <v>156</v>
      </c>
      <c r="K1" s="131" t="s">
        <v>157</v>
      </c>
      <c r="L1" s="131" t="s">
        <v>158</v>
      </c>
    </row>
    <row r="2" spans="1:12" ht="24.95" customHeight="1" x14ac:dyDescent="0.25">
      <c r="A2" s="125"/>
      <c r="B2" s="125"/>
      <c r="C2" s="125"/>
      <c r="D2" s="125"/>
      <c r="E2" s="138"/>
      <c r="F2" s="127"/>
      <c r="G2" s="145"/>
      <c r="H2" s="139"/>
      <c r="I2" s="132"/>
      <c r="J2" s="132"/>
      <c r="K2" s="132"/>
      <c r="L2" s="132"/>
    </row>
    <row r="3" spans="1:12" ht="24.95" customHeight="1" x14ac:dyDescent="0.25">
      <c r="A3" s="125"/>
      <c r="B3" s="125"/>
      <c r="C3" s="125"/>
      <c r="D3" s="125"/>
      <c r="E3" s="138"/>
      <c r="F3" s="127"/>
      <c r="G3" s="145"/>
      <c r="H3" s="139"/>
      <c r="I3" s="132"/>
      <c r="J3" s="132"/>
      <c r="K3" s="132"/>
      <c r="L3" s="132"/>
    </row>
    <row r="4" spans="1:12" ht="24.95" customHeight="1" x14ac:dyDescent="0.25">
      <c r="A4" s="125"/>
      <c r="B4" s="125"/>
      <c r="C4" s="125"/>
      <c r="D4" s="125"/>
      <c r="E4" s="138"/>
      <c r="F4" s="127"/>
      <c r="G4" s="145"/>
      <c r="H4" s="139"/>
      <c r="I4" s="132"/>
      <c r="J4" s="132"/>
      <c r="K4" s="132"/>
      <c r="L4" s="132"/>
    </row>
    <row r="5" spans="1:12" ht="24.95" customHeight="1" x14ac:dyDescent="0.25">
      <c r="A5" s="125"/>
      <c r="B5" s="125"/>
      <c r="C5" s="125"/>
      <c r="D5" s="125"/>
      <c r="E5" s="138"/>
      <c r="F5" s="127"/>
      <c r="G5" s="145"/>
      <c r="H5" s="139"/>
      <c r="I5" s="132"/>
      <c r="J5" s="132"/>
      <c r="K5" s="132"/>
      <c r="L5" s="132"/>
    </row>
    <row r="6" spans="1:12" ht="24.95" customHeight="1" x14ac:dyDescent="0.25">
      <c r="A6" s="125"/>
      <c r="B6" s="125"/>
      <c r="C6" s="125"/>
      <c r="D6" s="125"/>
      <c r="E6" s="138"/>
      <c r="F6" s="127"/>
      <c r="G6" s="145"/>
      <c r="H6" s="139"/>
      <c r="I6" s="132"/>
      <c r="J6" s="132"/>
      <c r="K6" s="132"/>
      <c r="L6" s="132"/>
    </row>
    <row r="7" spans="1:12" ht="24.95" customHeight="1" x14ac:dyDescent="0.25">
      <c r="A7" s="125"/>
      <c r="B7" s="125"/>
      <c r="C7" s="125"/>
      <c r="D7" s="125"/>
      <c r="E7" s="138"/>
      <c r="F7" s="127"/>
      <c r="G7" s="145"/>
      <c r="H7" s="139"/>
      <c r="I7" s="132"/>
      <c r="J7" s="132"/>
      <c r="K7" s="132"/>
      <c r="L7" s="132"/>
    </row>
    <row r="8" spans="1:12" ht="24.95" customHeight="1" x14ac:dyDescent="0.25">
      <c r="A8" s="125"/>
      <c r="B8" s="125"/>
      <c r="C8" s="125"/>
      <c r="D8" s="125"/>
      <c r="E8" s="138"/>
      <c r="F8" s="127"/>
      <c r="G8" s="145"/>
      <c r="H8" s="139"/>
      <c r="I8" s="132"/>
      <c r="J8" s="132"/>
      <c r="K8" s="132"/>
      <c r="L8" s="132"/>
    </row>
    <row r="9" spans="1:12" ht="24.95" customHeight="1" x14ac:dyDescent="0.25">
      <c r="A9" s="125"/>
      <c r="B9" s="125"/>
      <c r="C9" s="125"/>
      <c r="D9" s="125"/>
      <c r="E9" s="138"/>
      <c r="F9" s="127"/>
      <c r="G9" s="145"/>
      <c r="H9" s="139"/>
      <c r="I9" s="132"/>
      <c r="J9" s="132"/>
      <c r="K9" s="132"/>
      <c r="L9" s="132"/>
    </row>
    <row r="10" spans="1:12" ht="24.95" customHeight="1" x14ac:dyDescent="0.25">
      <c r="A10" s="125"/>
      <c r="B10" s="125"/>
      <c r="C10" s="125"/>
      <c r="D10" s="125"/>
      <c r="E10" s="138"/>
      <c r="F10" s="127"/>
      <c r="G10" s="145"/>
      <c r="H10" s="139"/>
      <c r="I10" s="132"/>
      <c r="J10" s="132"/>
      <c r="K10" s="132"/>
      <c r="L10" s="132"/>
    </row>
    <row r="11" spans="1:12" ht="24.95" customHeight="1" x14ac:dyDescent="0.25">
      <c r="A11" s="125"/>
      <c r="B11" s="125"/>
      <c r="C11" s="125"/>
      <c r="D11" s="125"/>
      <c r="E11" s="138"/>
      <c r="F11" s="127"/>
      <c r="G11" s="145"/>
      <c r="H11" s="139"/>
      <c r="I11" s="132"/>
      <c r="J11" s="132"/>
      <c r="K11" s="132"/>
      <c r="L11" s="132"/>
    </row>
    <row r="12" spans="1:12" ht="24.95" customHeight="1" x14ac:dyDescent="0.25">
      <c r="A12" s="125"/>
      <c r="B12" s="125"/>
      <c r="C12" s="125"/>
      <c r="D12" s="125"/>
      <c r="E12" s="138"/>
      <c r="F12" s="127"/>
      <c r="G12" s="145"/>
      <c r="H12" s="139"/>
      <c r="I12" s="132"/>
      <c r="J12" s="132"/>
      <c r="K12" s="132"/>
      <c r="L12" s="132"/>
    </row>
    <row r="13" spans="1:12" ht="24.95" customHeight="1" x14ac:dyDescent="0.25">
      <c r="A13" s="125"/>
      <c r="B13" s="125"/>
      <c r="C13" s="125"/>
      <c r="D13" s="125"/>
      <c r="E13" s="138"/>
      <c r="F13" s="127"/>
      <c r="G13" s="145"/>
      <c r="H13" s="139"/>
      <c r="I13" s="132"/>
      <c r="J13" s="132"/>
      <c r="K13" s="132"/>
      <c r="L13" s="132"/>
    </row>
    <row r="14" spans="1:12" ht="24.95" customHeight="1" x14ac:dyDescent="0.25">
      <c r="A14" s="125"/>
      <c r="B14" s="125"/>
      <c r="C14" s="125"/>
      <c r="D14" s="125"/>
      <c r="E14" s="138"/>
      <c r="F14" s="127"/>
      <c r="G14" s="145"/>
      <c r="H14" s="139"/>
      <c r="I14" s="132"/>
      <c r="J14" s="132"/>
      <c r="K14" s="132"/>
      <c r="L14" s="132"/>
    </row>
    <row r="15" spans="1:12" ht="24.95" customHeight="1" x14ac:dyDescent="0.25">
      <c r="A15" s="125"/>
      <c r="B15" s="125"/>
      <c r="C15" s="125"/>
      <c r="D15" s="125"/>
      <c r="E15" s="138"/>
      <c r="F15" s="127"/>
      <c r="G15" s="145"/>
      <c r="H15" s="139"/>
      <c r="I15" s="132"/>
      <c r="J15" s="132"/>
      <c r="K15" s="132"/>
      <c r="L15" s="132"/>
    </row>
    <row r="16" spans="1:12" ht="24.95" customHeight="1" x14ac:dyDescent="0.25">
      <c r="A16" s="125"/>
      <c r="B16" s="125"/>
      <c r="C16" s="125"/>
      <c r="D16" s="125"/>
      <c r="E16" s="138"/>
      <c r="F16" s="127"/>
      <c r="G16" s="145"/>
      <c r="H16" s="139"/>
      <c r="I16" s="132"/>
      <c r="J16" s="132"/>
      <c r="K16" s="132"/>
      <c r="L16" s="132"/>
    </row>
    <row r="17" spans="1:12" ht="24.95" customHeight="1" x14ac:dyDescent="0.25">
      <c r="A17" s="125"/>
      <c r="B17" s="125"/>
      <c r="C17" s="125"/>
      <c r="D17" s="125"/>
      <c r="E17" s="138"/>
      <c r="F17" s="127"/>
      <c r="G17" s="145"/>
      <c r="H17" s="139"/>
      <c r="I17" s="132"/>
      <c r="J17" s="132"/>
      <c r="K17" s="132"/>
      <c r="L17" s="132"/>
    </row>
    <row r="18" spans="1:12" ht="24.95" customHeight="1" x14ac:dyDescent="0.25">
      <c r="A18" s="125"/>
      <c r="B18" s="125"/>
      <c r="C18" s="125"/>
      <c r="D18" s="125"/>
      <c r="E18" s="138"/>
      <c r="F18" s="127"/>
      <c r="G18" s="145"/>
      <c r="H18" s="139"/>
      <c r="I18" s="132"/>
      <c r="J18" s="132"/>
      <c r="K18" s="132"/>
      <c r="L18" s="132"/>
    </row>
    <row r="19" spans="1:12" ht="24.95" customHeight="1" x14ac:dyDescent="0.25">
      <c r="A19" s="125"/>
      <c r="B19" s="125"/>
      <c r="C19" s="125"/>
      <c r="D19" s="125"/>
      <c r="E19" s="138"/>
      <c r="F19" s="127"/>
      <c r="G19" s="145"/>
      <c r="H19" s="139"/>
      <c r="I19" s="132"/>
      <c r="J19" s="132"/>
      <c r="K19" s="132"/>
      <c r="L19" s="132"/>
    </row>
    <row r="20" spans="1:12" ht="24.95" customHeight="1" x14ac:dyDescent="0.25">
      <c r="A20" s="125"/>
      <c r="B20" s="125"/>
      <c r="C20" s="125"/>
      <c r="D20" s="125"/>
      <c r="E20" s="138"/>
      <c r="F20" s="127"/>
      <c r="G20" s="145"/>
      <c r="H20" s="139"/>
      <c r="I20" s="132"/>
      <c r="J20" s="132"/>
      <c r="K20" s="132"/>
      <c r="L20" s="132"/>
    </row>
    <row r="21" spans="1:12" ht="24.95" customHeight="1" x14ac:dyDescent="0.25">
      <c r="A21" s="125"/>
      <c r="B21" s="125"/>
      <c r="C21" s="125"/>
      <c r="D21" s="125"/>
      <c r="E21" s="138"/>
      <c r="F21" s="127"/>
      <c r="G21" s="145"/>
      <c r="H21" s="139"/>
      <c r="I21" s="132"/>
      <c r="J21" s="132"/>
      <c r="K21" s="132"/>
      <c r="L21" s="132"/>
    </row>
    <row r="22" spans="1:12" ht="24.95" customHeight="1" x14ac:dyDescent="0.25">
      <c r="A22" s="125"/>
      <c r="B22" s="125"/>
      <c r="C22" s="125"/>
      <c r="D22" s="125"/>
      <c r="E22" s="138"/>
      <c r="F22" s="127"/>
      <c r="G22" s="145"/>
      <c r="H22" s="139"/>
      <c r="I22" s="132"/>
      <c r="J22" s="132"/>
      <c r="K22" s="132"/>
      <c r="L22" s="132"/>
    </row>
    <row r="23" spans="1:12" ht="24.95" customHeight="1" x14ac:dyDescent="0.25">
      <c r="A23" s="125"/>
      <c r="B23" s="125"/>
      <c r="C23" s="125"/>
      <c r="D23" s="125"/>
      <c r="E23" s="138"/>
      <c r="F23" s="127"/>
      <c r="G23" s="145"/>
      <c r="H23" s="139"/>
      <c r="I23" s="132"/>
      <c r="J23" s="132"/>
      <c r="K23" s="132"/>
      <c r="L23" s="132"/>
    </row>
    <row r="24" spans="1:12" ht="24.95" customHeight="1" x14ac:dyDescent="0.25">
      <c r="A24" s="125"/>
      <c r="B24" s="125"/>
      <c r="C24" s="125"/>
      <c r="D24" s="125"/>
      <c r="E24" s="138"/>
      <c r="F24" s="127"/>
      <c r="G24" s="145"/>
      <c r="H24" s="139"/>
      <c r="I24" s="132"/>
      <c r="J24" s="132"/>
      <c r="K24" s="132"/>
      <c r="L24" s="132"/>
    </row>
    <row r="25" spans="1:12" ht="24.95" customHeight="1" x14ac:dyDescent="0.25">
      <c r="A25" s="125"/>
      <c r="B25" s="125"/>
      <c r="C25" s="125"/>
      <c r="D25" s="125"/>
      <c r="E25" s="138"/>
      <c r="F25" s="127"/>
      <c r="G25" s="145"/>
      <c r="H25" s="139"/>
      <c r="I25" s="132"/>
      <c r="J25" s="132"/>
      <c r="K25" s="132"/>
      <c r="L25" s="132"/>
    </row>
    <row r="26" spans="1:12" ht="24.95" customHeight="1" x14ac:dyDescent="0.25">
      <c r="A26" s="125"/>
      <c r="B26" s="125"/>
      <c r="C26" s="125"/>
      <c r="D26" s="125"/>
      <c r="E26" s="138"/>
      <c r="F26" s="127"/>
      <c r="G26" s="145"/>
      <c r="H26" s="139"/>
      <c r="I26" s="132"/>
      <c r="J26" s="132"/>
      <c r="K26" s="132"/>
      <c r="L26" s="132"/>
    </row>
    <row r="27" spans="1:12" ht="24.95" customHeight="1" x14ac:dyDescent="0.25">
      <c r="A27" s="125"/>
      <c r="B27" s="125"/>
      <c r="C27" s="125"/>
      <c r="D27" s="125"/>
      <c r="E27" s="138"/>
      <c r="F27" s="127"/>
      <c r="G27" s="145"/>
      <c r="H27" s="139"/>
      <c r="I27" s="132"/>
      <c r="J27" s="132"/>
      <c r="K27" s="132"/>
      <c r="L27" s="132"/>
    </row>
    <row r="28" spans="1:12" ht="24.95" customHeight="1" x14ac:dyDescent="0.25">
      <c r="A28" s="125"/>
      <c r="B28" s="125"/>
      <c r="C28" s="125"/>
      <c r="D28" s="125"/>
      <c r="E28" s="138"/>
      <c r="F28" s="127"/>
      <c r="G28" s="145"/>
      <c r="H28" s="139"/>
      <c r="I28" s="132"/>
      <c r="J28" s="132"/>
      <c r="K28" s="132"/>
      <c r="L28" s="132"/>
    </row>
    <row r="29" spans="1:12" ht="24.95" customHeight="1" x14ac:dyDescent="0.25">
      <c r="A29" s="125"/>
      <c r="B29" s="125"/>
      <c r="C29" s="125"/>
      <c r="D29" s="125"/>
      <c r="E29" s="138"/>
      <c r="F29" s="127"/>
      <c r="G29" s="145"/>
      <c r="H29" s="139"/>
      <c r="I29" s="132"/>
      <c r="J29" s="132"/>
      <c r="K29" s="132"/>
      <c r="L29" s="132"/>
    </row>
  </sheetData>
  <conditionalFormatting sqref="I2:L29">
    <cfRule type="cellIs" dxfId="118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3">
    <tabColor rgb="FFFFFF00"/>
  </sheetPr>
  <dimension ref="A1:BF25"/>
  <sheetViews>
    <sheetView workbookViewId="0">
      <selection activeCell="C4" sqref="C4:D4"/>
    </sheetView>
  </sheetViews>
  <sheetFormatPr defaultColWidth="9.140625" defaultRowHeight="15" outlineLevelCol="1" x14ac:dyDescent="0.25"/>
  <cols>
    <col min="1" max="1" width="13" style="29" customWidth="1"/>
    <col min="2" max="2" width="15.7109375" style="29" customWidth="1"/>
    <col min="3" max="3" width="12.7109375" style="29" customWidth="1"/>
    <col min="4" max="4" width="23.85546875" style="29" customWidth="1"/>
    <col min="5" max="5" width="25.28515625" style="29" customWidth="1"/>
    <col min="6" max="11" width="8.42578125" style="29" customWidth="1"/>
    <col min="12" max="12" width="10.140625" style="29" customWidth="1"/>
    <col min="13" max="13" width="40.42578125" style="29" customWidth="1"/>
    <col min="14" max="14" width="31.42578125" style="29" hidden="1" customWidth="1" outlineLevel="1"/>
    <col min="15" max="15" width="35.5703125" style="29" hidden="1" customWidth="1" outlineLevel="1"/>
    <col min="16" max="21" width="14.28515625" style="29" hidden="1" customWidth="1" outlineLevel="1"/>
    <col min="22" max="22" width="9.85546875" style="29" hidden="1" customWidth="1" outlineLevel="1"/>
    <col min="23" max="37" width="14.28515625" style="29" hidden="1" customWidth="1" outlineLevel="1"/>
    <col min="38" max="38" width="14.28515625" style="29" customWidth="1" collapsed="1"/>
    <col min="39" max="39" width="24.28515625" style="29" customWidth="1"/>
    <col min="40" max="40" width="66.42578125" style="29" hidden="1" customWidth="1"/>
    <col min="41" max="41" width="57.7109375" style="29" customWidth="1"/>
    <col min="42" max="42" width="22.85546875" style="29" hidden="1" customWidth="1"/>
    <col min="43" max="43" width="9.140625" style="29" hidden="1" customWidth="1"/>
    <col min="44" max="44" width="12.28515625" style="29" customWidth="1"/>
    <col min="45" max="45" width="8.85546875" style="29" customWidth="1"/>
    <col min="46" max="46" width="9.28515625" style="29" customWidth="1"/>
    <col min="47" max="47" width="20.7109375" style="29" customWidth="1"/>
    <col min="48" max="48" width="8.28515625" style="29" customWidth="1"/>
    <col min="49" max="49" width="7.5703125" style="29" customWidth="1"/>
    <col min="50" max="50" width="9.140625" style="29"/>
    <col min="51" max="51" width="25.42578125" style="29" customWidth="1"/>
    <col min="52" max="52" width="8.7109375" style="29" customWidth="1"/>
    <col min="53" max="55" width="9.140625" style="29"/>
    <col min="56" max="56" width="29" style="29" customWidth="1"/>
    <col min="57" max="57" width="19.140625" style="29" customWidth="1"/>
    <col min="58" max="58" width="18.28515625" style="29" customWidth="1"/>
    <col min="59" max="59" width="9.140625" style="29" customWidth="1"/>
    <col min="60" max="16384" width="9.140625" style="29"/>
  </cols>
  <sheetData>
    <row r="1" spans="1:58" ht="32.25" customHeight="1" x14ac:dyDescent="0.25">
      <c r="B1" s="124" t="str">
        <f ca="1">MID(CELL("ИМЯФАЙЛА",A1),SEARCH("]",CELL("ИМЯФАЙЛА",A1))+1,255)</f>
        <v>аб1</v>
      </c>
      <c r="C1" s="54" t="e">
        <f ca="1">VLOOKUP(B1,ИД!D2:R238,2,FALSE)</f>
        <v>#N/A</v>
      </c>
      <c r="D1" s="56"/>
      <c r="E1" s="55"/>
      <c r="O1" s="29" t="e">
        <f ca="1">TRIM(RIGHT(SUBSTITUTE(E3,",",REPT(" ",5)),5))</f>
        <v>#N/A</v>
      </c>
    </row>
    <row r="2" spans="1:58" ht="45.6" customHeight="1" x14ac:dyDescent="0.4">
      <c r="B2" s="122" t="e">
        <f ca="1">IF(N2=1,"федеральной",IF(N2=2,"региональной",IF(N2=3,"местной",IF(N2=4,"частной",IF(N2=5,"лесной","ведомственной")))))</f>
        <v>#N/A</v>
      </c>
      <c r="C2" s="195" t="s">
        <v>82</v>
      </c>
      <c r="D2" s="195"/>
      <c r="E2" s="40" t="s">
        <v>154</v>
      </c>
      <c r="F2" s="38"/>
      <c r="G2" s="196" t="s">
        <v>85</v>
      </c>
      <c r="H2" s="196"/>
      <c r="I2" s="196"/>
      <c r="J2" s="196"/>
      <c r="K2" s="197" t="e">
        <f>ROUND(SUM(Таблица4383232[Б*l])/(SUM(Таблица4383232[Прот])-$E$4),1)</f>
        <v>#DIV/0!</v>
      </c>
      <c r="L2" s="197"/>
      <c r="N2" s="39" t="e">
        <f ca="1">VLOOKUP(B1,ИД!D2:R238,12,FALSE)</f>
        <v>#N/A</v>
      </c>
      <c r="O2" s="29" t="e">
        <f ca="1">LOWER(LEFT(C1,1))&amp;RIGHT(C1,LEN(C1)-1)</f>
        <v>#N/A</v>
      </c>
      <c r="AM2" s="191" t="e">
        <f>CONCATENATE(Лист1!B94,K2,Лист1!B95,K4,Лист1!B96,O3)</f>
        <v>#DIV/0!</v>
      </c>
      <c r="AN2" s="191"/>
      <c r="AO2" s="191"/>
    </row>
    <row r="3" spans="1:58" ht="46.15" customHeight="1" x14ac:dyDescent="0.4">
      <c r="B3" s="122" t="s">
        <v>134</v>
      </c>
      <c r="C3" s="198" t="s">
        <v>83</v>
      </c>
      <c r="D3" s="198"/>
      <c r="E3" s="130" t="e">
        <f ca="1">VLOOKUP(B1,ИД!D2:R238,3,FALSE)</f>
        <v>#N/A</v>
      </c>
      <c r="G3" s="193" t="s">
        <v>90</v>
      </c>
      <c r="H3" s="193"/>
      <c r="I3" s="193"/>
      <c r="J3" s="193"/>
      <c r="K3" s="199">
        <f>SUM(Таблица4383232[Прот])</f>
        <v>0</v>
      </c>
      <c r="L3" s="199"/>
      <c r="N3" s="39" t="e">
        <f ca="1">VLOOKUP(O1,Лист1!A75:C81,2,FALSE)</f>
        <v>#N/A</v>
      </c>
      <c r="O3" s="29" t="e">
        <f>IF(4&lt;K2,Лист1!B88,IF(3&lt;K2,Лист1!B89,IF(2&lt;K2,Лист1!B90,Лист1!B91)))</f>
        <v>#DIV/0!</v>
      </c>
      <c r="AM3" s="191"/>
      <c r="AN3" s="191"/>
      <c r="AO3" s="191"/>
      <c r="AU3" s="80" t="s">
        <v>133</v>
      </c>
    </row>
    <row r="4" spans="1:58" ht="26.25" x14ac:dyDescent="0.4">
      <c r="B4" s="122" t="e">
        <f ca="1">VLOOKUP(B1,ИД!D2:R238,9,FALSE)</f>
        <v>#N/A</v>
      </c>
      <c r="C4" s="192" t="s">
        <v>86</v>
      </c>
      <c r="D4" s="192"/>
      <c r="E4" s="40">
        <v>0</v>
      </c>
      <c r="G4" s="193" t="s">
        <v>118</v>
      </c>
      <c r="H4" s="193"/>
      <c r="I4" s="193"/>
      <c r="J4" s="193"/>
      <c r="K4" s="194" t="e">
        <f>ROUND(0.5+K2/10,2)</f>
        <v>#DIV/0!</v>
      </c>
      <c r="L4" s="194"/>
      <c r="N4" s="39" t="e">
        <f ca="1">VLOOKUP(O1,Лист1!A75:C81,3,FALSE)</f>
        <v>#N/A</v>
      </c>
      <c r="AM4" s="191"/>
      <c r="AN4" s="191"/>
      <c r="AO4" s="191"/>
    </row>
    <row r="5" spans="1:58" ht="27" thickBot="1" x14ac:dyDescent="0.45">
      <c r="B5" s="122" t="e">
        <f ca="1">VLOOKUP(B1,ИД!D2:R238,4,FALSE)</f>
        <v>#N/A</v>
      </c>
      <c r="C5" s="192" t="s">
        <v>94</v>
      </c>
      <c r="D5" s="192"/>
      <c r="E5" s="40">
        <v>0</v>
      </c>
      <c r="G5" s="200" t="s">
        <v>88</v>
      </c>
      <c r="H5" s="200"/>
      <c r="I5" s="200"/>
      <c r="J5" s="200"/>
      <c r="K5" s="201" t="e">
        <f ca="1">VLOOKUP(B1,ИД!D2:R238,10,FALSE)</f>
        <v>#N/A</v>
      </c>
      <c r="L5" s="201"/>
      <c r="N5" s="29" t="s">
        <v>134</v>
      </c>
      <c r="O5" s="29" t="e">
        <f ca="1">"Маршрут № "&amp;B1&amp;" представляет собой участок "&amp;B2&amp;" автомобильной дороги «"&amp;C1&amp;"», который начинается от "&amp;D6&amp;" и следует до "&amp;D7&amp;"."</f>
        <v>#N/A</v>
      </c>
      <c r="AM5" s="75"/>
      <c r="AN5" s="75"/>
      <c r="AO5" s="75"/>
    </row>
    <row r="6" spans="1:58" ht="26.25" x14ac:dyDescent="0.4">
      <c r="B6" s="122" t="e">
        <f ca="1">VLOOKUP(B1,ИД!D2:R238,8,FALSE)</f>
        <v>#N/A</v>
      </c>
      <c r="C6" s="78" t="s">
        <v>126</v>
      </c>
      <c r="D6" s="182" t="e">
        <f ca="1">VLOOKUP(B1,ИД!D2:R238,14,FALSE)</f>
        <v>#N/A</v>
      </c>
      <c r="E6" s="183"/>
      <c r="G6" s="76"/>
      <c r="H6" s="76"/>
      <c r="I6" s="76"/>
      <c r="J6" s="76"/>
      <c r="K6" s="77"/>
      <c r="L6" s="77"/>
      <c r="N6" s="29" t="s">
        <v>136</v>
      </c>
      <c r="O6" s="29" t="e">
        <f ca="1">"Маршрут № "&amp;B1&amp;" представляет собой участок  "&amp;C1&amp;", который начинается от "&amp;D6&amp;" и следует до "&amp;D7&amp;"."</f>
        <v>#N/A</v>
      </c>
      <c r="AM6" s="184" t="e">
        <f ca="1">VLOOKUP(B3,N5:O7,2,FALSE)</f>
        <v>#N/A</v>
      </c>
      <c r="AN6" s="185"/>
      <c r="AO6" s="186"/>
    </row>
    <row r="7" spans="1:58" ht="27" thickBot="1" x14ac:dyDescent="0.45">
      <c r="B7" s="122" t="e">
        <f ca="1">VLOOKUP(B1,ИД!D2:R238,11,FALSE)</f>
        <v>#N/A</v>
      </c>
      <c r="C7" s="78" t="s">
        <v>127</v>
      </c>
      <c r="D7" s="190" t="e">
        <f ca="1">VLOOKUP(B1,ИД!D2:R238,15,FALSE)</f>
        <v>#N/A</v>
      </c>
      <c r="E7" s="190"/>
      <c r="G7" s="76"/>
      <c r="H7" s="76"/>
      <c r="I7" s="76"/>
      <c r="J7" s="76"/>
      <c r="K7" s="77"/>
      <c r="L7" s="77"/>
      <c r="N7" s="29" t="s">
        <v>135</v>
      </c>
      <c r="O7" s="29" t="e">
        <f ca="1">"Маршрут № "&amp;B1&amp;" представляет собой "&amp;LOWER(LEFT(C1,1))&amp;RIGHT(C1,LEN(C1)-1)&amp;" от "&amp;D6&amp;"."</f>
        <v>#N/A</v>
      </c>
      <c r="AM7" s="187"/>
      <c r="AN7" s="188"/>
      <c r="AO7" s="189"/>
    </row>
    <row r="9" spans="1:58" x14ac:dyDescent="0.25">
      <c r="B9" s="178" t="e">
        <f ca="1">HYPERLINK("#ИД!D"&amp;MATCH(B1, ИД!D:D, 0), "На лист ИД!")</f>
        <v>#N/A</v>
      </c>
      <c r="D9" s="177"/>
      <c r="O9" s="29" t="s">
        <v>161</v>
      </c>
    </row>
    <row r="11" spans="1:58" ht="42" customHeight="1" x14ac:dyDescent="0.25">
      <c r="A11"/>
      <c r="B11" s="202"/>
      <c r="C11" s="203"/>
      <c r="D11" s="154" t="s">
        <v>189</v>
      </c>
      <c r="E11" s="154" t="s">
        <v>190</v>
      </c>
      <c r="F11"/>
      <c r="G11"/>
      <c r="H11"/>
      <c r="I11"/>
      <c r="J11"/>
      <c r="K11"/>
      <c r="L11"/>
      <c r="M11" s="136" t="s">
        <v>159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f>E5</f>
        <v>0</v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</row>
    <row r="12" spans="1:58" ht="16.5" x14ac:dyDescent="0.25">
      <c r="A12" s="63">
        <v>0</v>
      </c>
      <c r="B12" s="63">
        <v>0</v>
      </c>
      <c r="C12" s="205">
        <f>B12-A12</f>
        <v>0</v>
      </c>
      <c r="D12" s="64"/>
      <c r="E12" s="65"/>
      <c r="F12" s="65"/>
      <c r="G12" s="65"/>
      <c r="H12" s="65"/>
      <c r="I12" s="65"/>
      <c r="J12" s="30"/>
      <c r="K12" s="30"/>
      <c r="L12" s="30"/>
      <c r="M12" s="133"/>
      <c r="N12" s="31" t="str">
        <f>IFERROR(VLOOKUP(Таблица4383232[[#This Row],[Деф 1]],Лист1!$A$4:$F$72,2,FALSE),"")</f>
        <v/>
      </c>
      <c r="O12" s="31" t="str">
        <f>IFERROR(VLOOKUP(Таблица4383232[[#This Row],[Деф 2]],Лист1!$A$4:$F$72,2,FALSE),"")</f>
        <v/>
      </c>
      <c r="P12" s="31" t="str">
        <f>IFERROR(VLOOKUP(Таблица4383232[[#This Row],[Столбец4]],Лист1!$A$4:$F$72,2,FALSE),"")</f>
        <v/>
      </c>
      <c r="Q12" s="31" t="str">
        <f>IFERROR(VLOOKUP(Таблица4383232[[#This Row],[Столбец5]],Лист1!$A$4:$F$72,2,FALSE),"")</f>
        <v/>
      </c>
      <c r="R12" s="31" t="str">
        <f>IFERROR(VLOOKUP(Таблица4383232[[#This Row],[Столбец6]],Лист1!$A$4:$F$72,2,FALSE),"")</f>
        <v/>
      </c>
      <c r="S12" s="31" t="str">
        <f>IFERROR(VLOOKUP(Таблица4383232[[#This Row],[Столбец7]],Лист1!$A$4:$F$72,2,FALSE),"")</f>
        <v/>
      </c>
      <c r="T12" s="31" t="str">
        <f>IFERROR(VLOOKUP(Таблица4383232[[#This Row],[Столбец8]],Лист1!$A$4:$F$72,2,FALSE),"")</f>
        <v/>
      </c>
      <c r="U12" s="31" t="str">
        <f>IF(ISBLANK(Таблица4383232[[#This Row],[Столбец9]]),"",Таблица4383232[[#This Row],[Столбец9]])</f>
        <v/>
      </c>
      <c r="V12" s="32" t="str">
        <f>IFERROR(VLOOKUP(Таблица4383232[[#This Row],[Деф 1]],Лист1!$A$4:$F$72,3,FALSE),"")</f>
        <v/>
      </c>
      <c r="W12" s="32" t="str">
        <f>IFERROR(VLOOKUP(Таблица4383232[[#This Row],[Деф 2]],Лист1!$A$4:$F$72,3,FALSE),"")</f>
        <v/>
      </c>
      <c r="X12" s="32" t="str">
        <f>IFERROR(VLOOKUP(Таблица4383232[[#This Row],[Столбец4]],Лист1!$A$4:$F$72,3,FALSE),"")</f>
        <v/>
      </c>
      <c r="Y12" s="32" t="str">
        <f>IFERROR(VLOOKUP(Таблица4383232[[#This Row],[Столбец5]],Лист1!$A$4:$F$72,3,FALSE),"")</f>
        <v/>
      </c>
      <c r="Z12" s="32" t="str">
        <f>IFERROR(VLOOKUP(Таблица4383232[[#This Row],[Столбец6]],Лист1!$A$4:$F$72,3,FALSE),"")</f>
        <v/>
      </c>
      <c r="AA12" s="32" t="str">
        <f>IFERROR(VLOOKUP(Таблица4383232[[#This Row],[Столбец7]],Лист1!$A$4:$F$72,3,FALSE),"")</f>
        <v/>
      </c>
      <c r="AB12" s="32" t="str">
        <f>IFERROR(VLOOKUP(Таблица4383232[[#This Row],[Столбец8]],Лист1!$A$4:$F$72,3,FALSE),"")</f>
        <v/>
      </c>
      <c r="AC12" s="32" t="str">
        <f>IFERROR(VLOOKUP(Таблица4383232[[#This Row],[Столбец9]],Лист1!$A$4:$F$72,3,FALSE),"")</f>
        <v/>
      </c>
      <c r="AD12" s="101">
        <f t="shared" ref="AD12:AD25" si="0">ROUND(AE11,3)</f>
        <v>0</v>
      </c>
      <c r="AE12" s="33">
        <f t="shared" ref="AE12:AE25" si="1">ROUND(AD12+C12,3)</f>
        <v>0</v>
      </c>
      <c r="AF12" s="34">
        <f t="shared" ref="AF12:AF17" si="2">ROUND(ROUNDDOWN(AD12,0),0)</f>
        <v>0</v>
      </c>
      <c r="AG12" s="34">
        <f t="shared" ref="AG12:AG17" si="3">ROUND((AD12-AF12)*1000,0)</f>
        <v>0</v>
      </c>
      <c r="AH12" s="34">
        <f t="shared" ref="AH12:AH17" si="4">ROUND(ROUNDDOWN(AE12,0),0)</f>
        <v>0</v>
      </c>
      <c r="AI12" s="35">
        <f t="shared" ref="AI12:AI17" si="5">ROUND((AE12-AH12)*1000,0)</f>
        <v>0</v>
      </c>
      <c r="AJ12" s="41" t="str">
        <f>IF(Таблица4383232[[#This Row],[Столбец42]]=0,"000",Таблица4383232[[#This Row],[Столбец42]])</f>
        <v>000</v>
      </c>
      <c r="AK12" s="41" t="str">
        <f>IF(Таблица4383232[[#This Row],[Столбец44]]=0,"000",Таблица4383232[[#This Row],[Столбец44]])</f>
        <v>000</v>
      </c>
      <c r="AL12" s="48"/>
      <c r="AM12" s="46" t="str">
        <f t="shared" ref="AM12:AM17" si="6">CONCATENATE("км ",AF12,"+",AJ12," - км ",AH12,"+",AK12)</f>
        <v>км 0+000 - км 0+000</v>
      </c>
      <c r="AN12" s="47" t="str">
        <f>IF(ISBLANK(Таблица4383232[[#This Row],[Столбец9]]),N12&amp;O12&amp;P12&amp;Q12&amp;R12&amp;S12&amp;T12&amp;U12,N12&amp;O12&amp;P12&amp;Q12&amp;R12&amp;S12&amp;T12&amp;U12&amp;";")</f>
        <v/>
      </c>
      <c r="AO12" s="47" t="e">
        <f>UPPER(LEFT(Таблица4383232[[#This Row],[Столбец48]],1))&amp;RIGHT(LOWER(Таблица4383232[[#This Row],[Столбец48]]),LEN(Таблица4383232[[#This Row],[Столбец48]])-1)</f>
        <v>#VALUE!</v>
      </c>
      <c r="AP12" s="36">
        <f>MIN(V12:AC12)</f>
        <v>0</v>
      </c>
      <c r="AQ12" s="35">
        <f>AP12*$C12</f>
        <v>0</v>
      </c>
      <c r="AR12" s="49"/>
      <c r="AS12" s="44">
        <f t="shared" ref="AS12:AT14" si="7">AD12</f>
        <v>0</v>
      </c>
      <c r="AT12" s="44">
        <f t="shared" si="7"/>
        <v>0</v>
      </c>
      <c r="AU12" s="42">
        <f t="shared" ref="AU12:AU25" si="8">E12</f>
        <v>0</v>
      </c>
      <c r="AV12" s="45">
        <f t="shared" ref="AV12:AV25" si="9">D12</f>
        <v>0</v>
      </c>
      <c r="AW12" s="45" t="str">
        <f t="shared" ref="AW12:AW25" si="10">IF(AP12=0,"-",AP12)</f>
        <v>-</v>
      </c>
      <c r="AX12" s="50"/>
      <c r="AY12" s="44" t="str">
        <f>Таблица4383232[[#This Row],[Адрес дефекта, км +]]</f>
        <v>км 0+000 - км 0+000</v>
      </c>
      <c r="AZ12" s="45" t="str">
        <f>Таблица4383232[[#This Row],[Столбец55]]</f>
        <v>-</v>
      </c>
      <c r="BA12" s="43">
        <f>Таблица4383232[[#This Row],[Столбец59]]</f>
        <v>0.5</v>
      </c>
      <c r="BB12" s="50"/>
      <c r="BC12" s="50"/>
      <c r="BD12" s="42" t="str">
        <f>Таблица4383232[[#This Row],[Адрес дефекта, км +]]</f>
        <v>км 0+000 - км 0+000</v>
      </c>
      <c r="BE12" s="43">
        <f>ROUND(1-((5-Таблица4383232[[#This Row],[Балл минимальный]])/10),2)</f>
        <v>0.5</v>
      </c>
      <c r="BF12" s="42" t="e">
        <f t="shared" ref="BF12:BF17" ca="1" si="11">ROUND(BE12*$N$4,0)</f>
        <v>#N/A</v>
      </c>
    </row>
    <row r="13" spans="1:58" ht="16.5" x14ac:dyDescent="0.25">
      <c r="A13" s="63"/>
      <c r="B13" s="63"/>
      <c r="C13" s="205">
        <f>B13-A13</f>
        <v>0</v>
      </c>
      <c r="D13" s="64"/>
      <c r="E13" s="65"/>
      <c r="F13" s="65"/>
      <c r="G13" s="65"/>
      <c r="H13" s="65"/>
      <c r="I13" s="65"/>
      <c r="J13" s="30"/>
      <c r="K13" s="30"/>
      <c r="L13" s="30"/>
      <c r="M13" s="133"/>
      <c r="N13" s="31" t="str">
        <f>IFERROR(VLOOKUP(Таблица4383232[[#This Row],[Деф 1]],Лист1!$A$4:$F$72,2,FALSE),"")</f>
        <v/>
      </c>
      <c r="O13" s="31" t="str">
        <f>IFERROR(VLOOKUP(Таблица4383232[[#This Row],[Деф 2]],Лист1!$A$4:$F$72,2,FALSE),"")</f>
        <v/>
      </c>
      <c r="P13" s="31" t="str">
        <f>IFERROR(VLOOKUP(Таблица4383232[[#This Row],[Столбец4]],Лист1!$A$4:$F$72,2,FALSE),"")</f>
        <v/>
      </c>
      <c r="Q13" s="31" t="str">
        <f>IFERROR(VLOOKUP(Таблица4383232[[#This Row],[Столбец5]],Лист1!$A$4:$F$72,2,FALSE),"")</f>
        <v/>
      </c>
      <c r="R13" s="31" t="str">
        <f>IFERROR(VLOOKUP(Таблица4383232[[#This Row],[Столбец6]],Лист1!$A$4:$F$72,2,FALSE),"")</f>
        <v/>
      </c>
      <c r="S13" s="31" t="str">
        <f>IFERROR(VLOOKUP(Таблица4383232[[#This Row],[Столбец7]],Лист1!$A$4:$F$72,2,FALSE),"")</f>
        <v/>
      </c>
      <c r="T13" s="31" t="str">
        <f>IFERROR(VLOOKUP(Таблица4383232[[#This Row],[Столбец8]],Лист1!$A$4:$F$72,2,FALSE),"")</f>
        <v/>
      </c>
      <c r="U13" s="31" t="str">
        <f>IF(ISBLANK(Таблица4383232[[#This Row],[Столбец9]]),"",Таблица4383232[[#This Row],[Столбец9]])</f>
        <v/>
      </c>
      <c r="V13" s="32" t="str">
        <f>IFERROR(VLOOKUP(Таблица4383232[[#This Row],[Деф 1]],Лист1!$A$4:$F$72,3,FALSE),"")</f>
        <v/>
      </c>
      <c r="W13" s="32" t="str">
        <f>IFERROR(VLOOKUP(Таблица4383232[[#This Row],[Деф 2]],Лист1!$A$4:$F$72,3,FALSE),"")</f>
        <v/>
      </c>
      <c r="X13" s="32" t="str">
        <f>IFERROR(VLOOKUP(Таблица4383232[[#This Row],[Столбец4]],Лист1!$A$4:$F$72,3,FALSE),"")</f>
        <v/>
      </c>
      <c r="Y13" s="32" t="str">
        <f>IFERROR(VLOOKUP(Таблица4383232[[#This Row],[Столбец5]],Лист1!$A$4:$F$72,3,FALSE),"")</f>
        <v/>
      </c>
      <c r="Z13" s="32" t="str">
        <f>IFERROR(VLOOKUP(Таблица4383232[[#This Row],[Столбец6]],Лист1!$A$4:$F$72,3,FALSE),"")</f>
        <v/>
      </c>
      <c r="AA13" s="32" t="str">
        <f>IFERROR(VLOOKUP(Таблица4383232[[#This Row],[Столбец7]],Лист1!$A$4:$F$72,3,FALSE),"")</f>
        <v/>
      </c>
      <c r="AB13" s="32" t="str">
        <f>IFERROR(VLOOKUP(Таблица4383232[[#This Row],[Столбец8]],Лист1!$A$4:$F$72,3,FALSE),"")</f>
        <v/>
      </c>
      <c r="AC13" s="32" t="str">
        <f>IFERROR(VLOOKUP(Таблица4383232[[#This Row],[Столбец9]],Лист1!$A$4:$F$72,3,FALSE),"")</f>
        <v/>
      </c>
      <c r="AD13" s="101">
        <f t="shared" si="0"/>
        <v>0</v>
      </c>
      <c r="AE13" s="33">
        <f t="shared" si="1"/>
        <v>0</v>
      </c>
      <c r="AF13" s="34">
        <f t="shared" si="2"/>
        <v>0</v>
      </c>
      <c r="AG13" s="34">
        <f t="shared" si="3"/>
        <v>0</v>
      </c>
      <c r="AH13" s="34">
        <f t="shared" si="4"/>
        <v>0</v>
      </c>
      <c r="AI13" s="35">
        <f t="shared" si="5"/>
        <v>0</v>
      </c>
      <c r="AJ13" s="41" t="str">
        <f>IF(Таблица4383232[[#This Row],[Столбец42]]=0,"000",Таблица4383232[[#This Row],[Столбец42]])</f>
        <v>000</v>
      </c>
      <c r="AK13" s="41" t="str">
        <f>IF(Таблица4383232[[#This Row],[Столбец44]]=0,"000",Таблица4383232[[#This Row],[Столбец44]])</f>
        <v>000</v>
      </c>
      <c r="AL13" s="48"/>
      <c r="AM13" s="46" t="str">
        <f t="shared" si="6"/>
        <v>км 0+000 - км 0+000</v>
      </c>
      <c r="AN13" s="47" t="str">
        <f>IF(ISBLANK(Таблица4383232[[#This Row],[Столбец9]]),N13&amp;O13&amp;P13&amp;Q13&amp;R13&amp;S13&amp;T13&amp;U13,N13&amp;O13&amp;P13&amp;Q13&amp;R13&amp;S13&amp;T13&amp;U13&amp;";")</f>
        <v/>
      </c>
      <c r="AO13" s="47" t="e">
        <f>UPPER(LEFT(Таблица4383232[[#This Row],[Столбец48]],1))&amp;RIGHT(LOWER(Таблица4383232[[#This Row],[Столбец48]]),LEN(Таблица4383232[[#This Row],[Столбец48]])-1)</f>
        <v>#VALUE!</v>
      </c>
      <c r="AP13" s="36">
        <f>MIN(V13:AC13)</f>
        <v>0</v>
      </c>
      <c r="AQ13" s="35">
        <f>AP13*C13</f>
        <v>0</v>
      </c>
      <c r="AR13" s="49"/>
      <c r="AS13" s="44">
        <f t="shared" si="7"/>
        <v>0</v>
      </c>
      <c r="AT13" s="44">
        <f t="shared" si="7"/>
        <v>0</v>
      </c>
      <c r="AU13" s="42">
        <f t="shared" si="8"/>
        <v>0</v>
      </c>
      <c r="AV13" s="45">
        <f t="shared" si="9"/>
        <v>0</v>
      </c>
      <c r="AW13" s="45" t="str">
        <f t="shared" si="10"/>
        <v>-</v>
      </c>
      <c r="AX13" s="50"/>
      <c r="AY13" s="44" t="str">
        <f>Таблица4383232[[#This Row],[Адрес дефекта, км +]]</f>
        <v>км 0+000 - км 0+000</v>
      </c>
      <c r="AZ13" s="45" t="str">
        <f>Таблица4383232[[#This Row],[Столбец55]]</f>
        <v>-</v>
      </c>
      <c r="BA13" s="43">
        <f>Таблица4383232[[#This Row],[Столбец59]]</f>
        <v>0.5</v>
      </c>
      <c r="BB13" s="50"/>
      <c r="BC13" s="50"/>
      <c r="BD13" s="42" t="str">
        <f>Таблица4383232[[#This Row],[Адрес дефекта, км +]]</f>
        <v>км 0+000 - км 0+000</v>
      </c>
      <c r="BE13" s="43">
        <f>ROUND(1-((5-Таблица4383232[[#This Row],[Балл минимальный]])/10),2)</f>
        <v>0.5</v>
      </c>
      <c r="BF13" s="42" t="e">
        <f t="shared" ca="1" si="11"/>
        <v>#N/A</v>
      </c>
    </row>
    <row r="14" spans="1:58" ht="16.5" x14ac:dyDescent="0.25">
      <c r="A14" s="63"/>
      <c r="B14" s="63"/>
      <c r="C14" s="205">
        <f>B14-A14</f>
        <v>0</v>
      </c>
      <c r="D14" s="64"/>
      <c r="E14" s="65"/>
      <c r="F14" s="65"/>
      <c r="G14" s="65"/>
      <c r="H14" s="65"/>
      <c r="I14" s="65"/>
      <c r="J14" s="30"/>
      <c r="K14" s="30"/>
      <c r="L14" s="30"/>
      <c r="M14" s="133"/>
      <c r="N14" s="31" t="str">
        <f>IFERROR(VLOOKUP(Таблица4383232[[#This Row],[Деф 1]],Лист1!$A$4:$F$72,2,FALSE),"")</f>
        <v/>
      </c>
      <c r="O14" s="31" t="str">
        <f>IFERROR(VLOOKUP(Таблица4383232[[#This Row],[Деф 2]],Лист1!$A$4:$F$72,2,FALSE),"")</f>
        <v/>
      </c>
      <c r="P14" s="31" t="str">
        <f>IFERROR(VLOOKUP(Таблица4383232[[#This Row],[Столбец4]],Лист1!$A$4:$F$72,2,FALSE),"")</f>
        <v/>
      </c>
      <c r="Q14" s="31" t="str">
        <f>IFERROR(VLOOKUP(Таблица4383232[[#This Row],[Столбец5]],Лист1!$A$4:$F$72,2,FALSE),"")</f>
        <v/>
      </c>
      <c r="R14" s="31" t="str">
        <f>IFERROR(VLOOKUP(Таблица4383232[[#This Row],[Столбец6]],Лист1!$A$4:$F$72,2,FALSE),"")</f>
        <v/>
      </c>
      <c r="S14" s="31" t="str">
        <f>IFERROR(VLOOKUP(Таблица4383232[[#This Row],[Столбец7]],Лист1!$A$4:$F$72,2,FALSE),"")</f>
        <v/>
      </c>
      <c r="T14" s="31" t="str">
        <f>IFERROR(VLOOKUP(Таблица4383232[[#This Row],[Столбец8]],Лист1!$A$4:$F$72,2,FALSE),"")</f>
        <v/>
      </c>
      <c r="U14" s="31" t="str">
        <f>IF(ISBLANK(Таблица4383232[[#This Row],[Столбец9]]),"",Таблица4383232[[#This Row],[Столбец9]])</f>
        <v/>
      </c>
      <c r="V14" s="32" t="str">
        <f>IFERROR(VLOOKUP(Таблица4383232[[#This Row],[Деф 1]],Лист1!$A$4:$F$72,3,FALSE),"")</f>
        <v/>
      </c>
      <c r="W14" s="32" t="str">
        <f>IFERROR(VLOOKUP(Таблица4383232[[#This Row],[Деф 2]],Лист1!$A$4:$F$72,3,FALSE),"")</f>
        <v/>
      </c>
      <c r="X14" s="32" t="str">
        <f>IFERROR(VLOOKUP(Таблица4383232[[#This Row],[Столбец4]],Лист1!$A$4:$F$72,3,FALSE),"")</f>
        <v/>
      </c>
      <c r="Y14" s="32" t="str">
        <f>IFERROR(VLOOKUP(Таблица4383232[[#This Row],[Столбец5]],Лист1!$A$4:$F$72,3,FALSE),"")</f>
        <v/>
      </c>
      <c r="Z14" s="32" t="str">
        <f>IFERROR(VLOOKUP(Таблица4383232[[#This Row],[Столбец6]],Лист1!$A$4:$F$72,3,FALSE),"")</f>
        <v/>
      </c>
      <c r="AA14" s="32" t="str">
        <f>IFERROR(VLOOKUP(Таблица4383232[[#This Row],[Столбец7]],Лист1!$A$4:$F$72,3,FALSE),"")</f>
        <v/>
      </c>
      <c r="AB14" s="32" t="str">
        <f>IFERROR(VLOOKUP(Таблица4383232[[#This Row],[Столбец8]],Лист1!$A$4:$F$72,3,FALSE),"")</f>
        <v/>
      </c>
      <c r="AC14" s="32" t="str">
        <f>IFERROR(VLOOKUP(Таблица4383232[[#This Row],[Столбец9]],Лист1!$A$4:$F$72,3,FALSE),"")</f>
        <v/>
      </c>
      <c r="AD14" s="101">
        <f t="shared" si="0"/>
        <v>0</v>
      </c>
      <c r="AE14" s="33">
        <f t="shared" si="1"/>
        <v>0</v>
      </c>
      <c r="AF14" s="34">
        <f t="shared" si="2"/>
        <v>0</v>
      </c>
      <c r="AG14" s="34">
        <f t="shared" si="3"/>
        <v>0</v>
      </c>
      <c r="AH14" s="34">
        <f t="shared" si="4"/>
        <v>0</v>
      </c>
      <c r="AI14" s="35">
        <f t="shared" si="5"/>
        <v>0</v>
      </c>
      <c r="AJ14" s="41" t="str">
        <f>IF(Таблица4383232[[#This Row],[Столбец42]]=0,"000",Таблица4383232[[#This Row],[Столбец42]])</f>
        <v>000</v>
      </c>
      <c r="AK14" s="41" t="str">
        <f>IF(Таблица4383232[[#This Row],[Столбец44]]=0,"000",Таблица4383232[[#This Row],[Столбец44]])</f>
        <v>000</v>
      </c>
      <c r="AL14" s="48"/>
      <c r="AM14" s="46" t="str">
        <f t="shared" si="6"/>
        <v>км 0+000 - км 0+000</v>
      </c>
      <c r="AN14" s="47" t="str">
        <f>IF(ISBLANK(Таблица4383232[[#This Row],[Столбец9]]),N14&amp;O14&amp;P14&amp;Q14&amp;R14&amp;S14&amp;T14&amp;U14,N14&amp;O14&amp;P14&amp;Q14&amp;R14&amp;S14&amp;T14&amp;U14&amp;";")</f>
        <v/>
      </c>
      <c r="AO14" s="47" t="e">
        <f>UPPER(LEFT(Таблица4383232[[#This Row],[Столбец48]],1))&amp;RIGHT(LOWER(Таблица4383232[[#This Row],[Столбец48]]),LEN(Таблица4383232[[#This Row],[Столбец48]])-1)</f>
        <v>#VALUE!</v>
      </c>
      <c r="AP14" s="36">
        <f>MIN(V14:AC14)</f>
        <v>0</v>
      </c>
      <c r="AQ14" s="35">
        <f>AP14*C14</f>
        <v>0</v>
      </c>
      <c r="AR14" s="49"/>
      <c r="AS14" s="44">
        <f t="shared" si="7"/>
        <v>0</v>
      </c>
      <c r="AT14" s="44">
        <f t="shared" si="7"/>
        <v>0</v>
      </c>
      <c r="AU14" s="42">
        <f t="shared" si="8"/>
        <v>0</v>
      </c>
      <c r="AV14" s="45">
        <f t="shared" si="9"/>
        <v>0</v>
      </c>
      <c r="AW14" s="45" t="str">
        <f t="shared" si="10"/>
        <v>-</v>
      </c>
      <c r="AX14" s="50"/>
      <c r="AY14" s="44" t="str">
        <f>Таблица4383232[[#This Row],[Адрес дефекта, км +]]</f>
        <v>км 0+000 - км 0+000</v>
      </c>
      <c r="AZ14" s="45" t="str">
        <f>Таблица4383232[[#This Row],[Столбец55]]</f>
        <v>-</v>
      </c>
      <c r="BA14" s="43">
        <f>Таблица4383232[[#This Row],[Столбец59]]</f>
        <v>0.5</v>
      </c>
      <c r="BB14" s="50"/>
      <c r="BC14" s="50"/>
      <c r="BD14" s="42" t="str">
        <f>Таблица4383232[[#This Row],[Адрес дефекта, км +]]</f>
        <v>км 0+000 - км 0+000</v>
      </c>
      <c r="BE14" s="43">
        <f>ROUND(1-((5-Таблица4383232[[#This Row],[Балл минимальный]])/10),2)</f>
        <v>0.5</v>
      </c>
      <c r="BF14" s="42" t="e">
        <f t="shared" ca="1" si="11"/>
        <v>#N/A</v>
      </c>
    </row>
    <row r="15" spans="1:58" ht="16.5" x14ac:dyDescent="0.25">
      <c r="A15" s="81"/>
      <c r="B15" s="204"/>
      <c r="C15" s="205">
        <f t="shared" ref="C15:C20" si="12">B15-A15</f>
        <v>0</v>
      </c>
      <c r="D15" s="64"/>
      <c r="E15" s="65"/>
      <c r="F15" s="65"/>
      <c r="G15" s="61"/>
      <c r="H15" s="61"/>
      <c r="I15" s="61"/>
      <c r="J15" s="61"/>
      <c r="K15" s="61"/>
      <c r="L15" s="61"/>
      <c r="M15" s="134"/>
      <c r="N15" s="83" t="str">
        <f>IFERROR(VLOOKUP(Таблица4383232[[#This Row],[Деф 1]],Лист1!$A$4:$F$72,2,FALSE),"")</f>
        <v/>
      </c>
      <c r="O15" s="83" t="str">
        <f>IFERROR(VLOOKUP(Таблица4383232[[#This Row],[Деф 2]],Лист1!$A$4:$F$72,2,FALSE),"")</f>
        <v/>
      </c>
      <c r="P15" s="84" t="str">
        <f>IFERROR(VLOOKUP(Таблица4383232[[#This Row],[Столбец4]],Лист1!$A$4:$F$72,2,FALSE),"")</f>
        <v/>
      </c>
      <c r="Q15" s="84" t="str">
        <f>IFERROR(VLOOKUP(Таблица4383232[[#This Row],[Столбец5]],Лист1!$A$4:$F$72,2,FALSE),"")</f>
        <v/>
      </c>
      <c r="R15" s="84" t="str">
        <f>IFERROR(VLOOKUP(Таблица4383232[[#This Row],[Столбец6]],Лист1!$A$4:$F$72,2,FALSE),"")</f>
        <v/>
      </c>
      <c r="S15" s="84" t="str">
        <f>IFERROR(VLOOKUP(Таблица4383232[[#This Row],[Столбец7]],Лист1!$A$4:$F$72,2,FALSE),"")</f>
        <v/>
      </c>
      <c r="T15" s="84" t="str">
        <f>IFERROR(VLOOKUP(Таблица4383232[[#This Row],[Столбец8]],Лист1!$A$4:$F$72,2,FALSE),"")</f>
        <v/>
      </c>
      <c r="U15" s="84" t="str">
        <f>IF(ISBLANK(Таблица4383232[[#This Row],[Столбец9]]),"",Таблица4383232[[#This Row],[Столбец9]])</f>
        <v/>
      </c>
      <c r="V15" s="85" t="str">
        <f>IFERROR(VLOOKUP(Таблица4383232[[#This Row],[Деф 1]],Лист1!$A$4:$F$72,3,FALSE),"")</f>
        <v/>
      </c>
      <c r="W15" s="86" t="str">
        <f>IFERROR(VLOOKUP(Таблица4383232[[#This Row],[Деф 2]],Лист1!$A$4:$F$72,3,FALSE),"")</f>
        <v/>
      </c>
      <c r="X15" s="86" t="str">
        <f>IFERROR(VLOOKUP(Таблица4383232[[#This Row],[Столбец4]],Лист1!$A$4:$F$72,3,FALSE),"")</f>
        <v/>
      </c>
      <c r="Y15" s="86" t="str">
        <f>IFERROR(VLOOKUP(Таблица4383232[[#This Row],[Столбец5]],Лист1!$A$4:$F$72,3,FALSE),"")</f>
        <v/>
      </c>
      <c r="Z15" s="86" t="str">
        <f>IFERROR(VLOOKUP(Таблица4383232[[#This Row],[Столбец6]],Лист1!$A$4:$F$72,3,FALSE),"")</f>
        <v/>
      </c>
      <c r="AA15" s="86" t="str">
        <f>IFERROR(VLOOKUP(Таблица4383232[[#This Row],[Столбец7]],Лист1!$A$4:$F$72,3,FALSE),"")</f>
        <v/>
      </c>
      <c r="AB15" s="86" t="str">
        <f>IFERROR(VLOOKUP(Таблица4383232[[#This Row],[Столбец8]],Лист1!$A$4:$F$72,3,FALSE),"")</f>
        <v/>
      </c>
      <c r="AC15" s="86" t="str">
        <f>IFERROR(VLOOKUP(Таблица4383232[[#This Row],[Столбец9]],Лист1!$A$4:$F$72,3,FALSE),"")</f>
        <v/>
      </c>
      <c r="AD15" s="57">
        <f t="shared" si="0"/>
        <v>0</v>
      </c>
      <c r="AE15" s="87">
        <f t="shared" si="1"/>
        <v>0</v>
      </c>
      <c r="AF15" s="88">
        <f t="shared" si="2"/>
        <v>0</v>
      </c>
      <c r="AG15" s="88">
        <f t="shared" si="3"/>
        <v>0</v>
      </c>
      <c r="AH15" s="88">
        <f t="shared" si="4"/>
        <v>0</v>
      </c>
      <c r="AI15" s="89">
        <f t="shared" si="5"/>
        <v>0</v>
      </c>
      <c r="AJ15" s="89" t="str">
        <f>IF(Таблица4383232[[#This Row],[Столбец42]]=0,"000",Таблица4383232[[#This Row],[Столбец42]])</f>
        <v>000</v>
      </c>
      <c r="AK15" s="89" t="str">
        <f>IF(Таблица4383232[[#This Row],[Столбец44]]=0,"000",Таблица4383232[[#This Row],[Столбец44]])</f>
        <v>000</v>
      </c>
      <c r="AL15" s="58"/>
      <c r="AM15" s="90" t="str">
        <f t="shared" si="6"/>
        <v>км 0+000 - км 0+000</v>
      </c>
      <c r="AN15" s="91" t="str">
        <f>IF(ISBLANK(Таблица4383232[[#This Row],[Столбец9]]),N15&amp;O15&amp;P15&amp;Q15&amp;R15&amp;S15&amp;T15&amp;U15,N15&amp;O15&amp;P15&amp;Q15&amp;R15&amp;S15&amp;T15&amp;U15&amp;";")</f>
        <v/>
      </c>
      <c r="AO15" s="92" t="e">
        <f>UPPER(LEFT(Таблица4383232[[#This Row],[Столбец48]],1))&amp;RIGHT(LOWER(Таблица4383232[[#This Row],[Столбец48]]),LEN(Таблица4383232[[#This Row],[Столбец48]])-1)</f>
        <v>#VALUE!</v>
      </c>
      <c r="AP15" s="59">
        <f t="shared" ref="AP15:AP20" si="13">MIN(V15:AC15)</f>
        <v>0</v>
      </c>
      <c r="AQ15" s="93">
        <f t="shared" ref="AQ15:AQ20" si="14">AP15*C15</f>
        <v>0</v>
      </c>
      <c r="AR15" s="51"/>
      <c r="AS15" s="94">
        <f t="shared" ref="AS15:AT17" si="15">AD15</f>
        <v>0</v>
      </c>
      <c r="AT15" s="95">
        <f t="shared" si="15"/>
        <v>0</v>
      </c>
      <c r="AU15" s="96">
        <f t="shared" si="8"/>
        <v>0</v>
      </c>
      <c r="AV15" s="97">
        <f t="shared" si="9"/>
        <v>0</v>
      </c>
      <c r="AW15" s="97" t="str">
        <f t="shared" si="10"/>
        <v>-</v>
      </c>
      <c r="AX15" s="60"/>
      <c r="AY15" s="44" t="str">
        <f>Таблица4383232[[#This Row],[Адрес дефекта, км +]]</f>
        <v>км 0+000 - км 0+000</v>
      </c>
      <c r="AZ15" s="45" t="str">
        <f>Таблица4383232[[#This Row],[Столбец55]]</f>
        <v>-</v>
      </c>
      <c r="BA15" s="43">
        <f>Таблица4383232[[#This Row],[Столбец59]]</f>
        <v>0.5</v>
      </c>
      <c r="BB15" s="60"/>
      <c r="BC15" s="60"/>
      <c r="BD15" s="98" t="str">
        <f>Таблица4383232[[#This Row],[Адрес дефекта, км +]]</f>
        <v>км 0+000 - км 0+000</v>
      </c>
      <c r="BE15" s="99">
        <f>ROUND(1-((5-Таблица4383232[[#This Row],[Балл минимальный]])/10),2)</f>
        <v>0.5</v>
      </c>
      <c r="BF15" s="100" t="e">
        <f t="shared" ca="1" si="11"/>
        <v>#N/A</v>
      </c>
    </row>
    <row r="16" spans="1:58" ht="16.5" x14ac:dyDescent="0.25">
      <c r="A16" s="81"/>
      <c r="B16" s="204"/>
      <c r="C16" s="37">
        <f t="shared" si="12"/>
        <v>0</v>
      </c>
      <c r="D16" s="64"/>
      <c r="E16" s="65"/>
      <c r="F16" s="65"/>
      <c r="G16" s="61"/>
      <c r="H16" s="61"/>
      <c r="I16" s="61"/>
      <c r="J16" s="61"/>
      <c r="K16" s="61"/>
      <c r="L16" s="61"/>
      <c r="M16" s="134"/>
      <c r="N16" s="83" t="str">
        <f>IFERROR(VLOOKUP(Таблица4383232[[#This Row],[Деф 1]],Лист1!$A$4:$F$72,2,FALSE),"")</f>
        <v/>
      </c>
      <c r="O16" s="83" t="str">
        <f>IFERROR(VLOOKUP(Таблица4383232[[#This Row],[Деф 2]],Лист1!$A$4:$F$72,2,FALSE),"")</f>
        <v/>
      </c>
      <c r="P16" s="84" t="str">
        <f>IFERROR(VLOOKUP(Таблица4383232[[#This Row],[Столбец4]],Лист1!$A$4:$F$72,2,FALSE),"")</f>
        <v/>
      </c>
      <c r="Q16" s="84" t="str">
        <f>IFERROR(VLOOKUP(Таблица4383232[[#This Row],[Столбец5]],Лист1!$A$4:$F$72,2,FALSE),"")</f>
        <v/>
      </c>
      <c r="R16" s="84" t="str">
        <f>IFERROR(VLOOKUP(Таблица4383232[[#This Row],[Столбец6]],Лист1!$A$4:$F$72,2,FALSE),"")</f>
        <v/>
      </c>
      <c r="S16" s="84" t="str">
        <f>IFERROR(VLOOKUP(Таблица4383232[[#This Row],[Столбец7]],Лист1!$A$4:$F$72,2,FALSE),"")</f>
        <v/>
      </c>
      <c r="T16" s="84" t="str">
        <f>IFERROR(VLOOKUP(Таблица4383232[[#This Row],[Столбец8]],Лист1!$A$4:$F$72,2,FALSE),"")</f>
        <v/>
      </c>
      <c r="U16" s="84" t="str">
        <f>IF(ISBLANK(Таблица4383232[[#This Row],[Столбец9]]),"",Таблица4383232[[#This Row],[Столбец9]])</f>
        <v/>
      </c>
      <c r="V16" s="85" t="str">
        <f>IFERROR(VLOOKUP(Таблица4383232[[#This Row],[Деф 1]],Лист1!$A$4:$F$72,3,FALSE),"")</f>
        <v/>
      </c>
      <c r="W16" s="86" t="str">
        <f>IFERROR(VLOOKUP(Таблица4383232[[#This Row],[Деф 2]],Лист1!$A$4:$F$72,3,FALSE),"")</f>
        <v/>
      </c>
      <c r="X16" s="86" t="str">
        <f>IFERROR(VLOOKUP(Таблица4383232[[#This Row],[Столбец4]],Лист1!$A$4:$F$72,3,FALSE),"")</f>
        <v/>
      </c>
      <c r="Y16" s="86" t="str">
        <f>IFERROR(VLOOKUP(Таблица4383232[[#This Row],[Столбец5]],Лист1!$A$4:$F$72,3,FALSE),"")</f>
        <v/>
      </c>
      <c r="Z16" s="86" t="str">
        <f>IFERROR(VLOOKUP(Таблица4383232[[#This Row],[Столбец6]],Лист1!$A$4:$F$72,3,FALSE),"")</f>
        <v/>
      </c>
      <c r="AA16" s="86" t="str">
        <f>IFERROR(VLOOKUP(Таблица4383232[[#This Row],[Столбец7]],Лист1!$A$4:$F$72,3,FALSE),"")</f>
        <v/>
      </c>
      <c r="AB16" s="86" t="str">
        <f>IFERROR(VLOOKUP(Таблица4383232[[#This Row],[Столбец8]],Лист1!$A$4:$F$72,3,FALSE),"")</f>
        <v/>
      </c>
      <c r="AC16" s="86" t="str">
        <f>IFERROR(VLOOKUP(Таблица4383232[[#This Row],[Столбец9]],Лист1!$A$4:$F$72,3,FALSE),"")</f>
        <v/>
      </c>
      <c r="AD16" s="57">
        <f t="shared" si="0"/>
        <v>0</v>
      </c>
      <c r="AE16" s="87">
        <f t="shared" si="1"/>
        <v>0</v>
      </c>
      <c r="AF16" s="88">
        <f t="shared" si="2"/>
        <v>0</v>
      </c>
      <c r="AG16" s="88">
        <f t="shared" si="3"/>
        <v>0</v>
      </c>
      <c r="AH16" s="88">
        <f t="shared" si="4"/>
        <v>0</v>
      </c>
      <c r="AI16" s="89">
        <f t="shared" si="5"/>
        <v>0</v>
      </c>
      <c r="AJ16" s="89" t="str">
        <f>IF(Таблица4383232[[#This Row],[Столбец42]]=0,"000",Таблица4383232[[#This Row],[Столбец42]])</f>
        <v>000</v>
      </c>
      <c r="AK16" s="89" t="str">
        <f>IF(Таблица4383232[[#This Row],[Столбец44]]=0,"000",Таблица4383232[[#This Row],[Столбец44]])</f>
        <v>000</v>
      </c>
      <c r="AL16" s="58"/>
      <c r="AM16" s="90" t="str">
        <f t="shared" si="6"/>
        <v>км 0+000 - км 0+000</v>
      </c>
      <c r="AN16" s="91" t="str">
        <f>IF(ISBLANK(Таблица4383232[[#This Row],[Столбец9]]),N16&amp;O16&amp;P16&amp;Q16&amp;R16&amp;S16&amp;T16&amp;U16,N16&amp;O16&amp;P16&amp;Q16&amp;R16&amp;S16&amp;T16&amp;U16&amp;";")</f>
        <v/>
      </c>
      <c r="AO16" s="92" t="e">
        <f>UPPER(LEFT(Таблица4383232[[#This Row],[Столбец48]],1))&amp;RIGHT(LOWER(Таблица4383232[[#This Row],[Столбец48]]),LEN(Таблица4383232[[#This Row],[Столбец48]])-1)</f>
        <v>#VALUE!</v>
      </c>
      <c r="AP16" s="59">
        <f t="shared" si="13"/>
        <v>0</v>
      </c>
      <c r="AQ16" s="93">
        <f t="shared" si="14"/>
        <v>0</v>
      </c>
      <c r="AR16" s="51"/>
      <c r="AS16" s="94">
        <f t="shared" si="15"/>
        <v>0</v>
      </c>
      <c r="AT16" s="95">
        <f t="shared" si="15"/>
        <v>0</v>
      </c>
      <c r="AU16" s="96">
        <f t="shared" si="8"/>
        <v>0</v>
      </c>
      <c r="AV16" s="97">
        <f t="shared" si="9"/>
        <v>0</v>
      </c>
      <c r="AW16" s="97" t="str">
        <f t="shared" si="10"/>
        <v>-</v>
      </c>
      <c r="AX16" s="60"/>
      <c r="AY16" s="44" t="str">
        <f>Таблица4383232[[#This Row],[Адрес дефекта, км +]]</f>
        <v>км 0+000 - км 0+000</v>
      </c>
      <c r="AZ16" s="45" t="str">
        <f>Таблица4383232[[#This Row],[Столбец55]]</f>
        <v>-</v>
      </c>
      <c r="BA16" s="43">
        <f>Таблица4383232[[#This Row],[Столбец59]]</f>
        <v>0.5</v>
      </c>
      <c r="BB16" s="60"/>
      <c r="BC16" s="60"/>
      <c r="BD16" s="42" t="str">
        <f>Таблица4383232[[#This Row],[Адрес дефекта, км +]]</f>
        <v>км 0+000 - км 0+000</v>
      </c>
      <c r="BE16" s="43">
        <f>ROUND(1-((5-Таблица4383232[[#This Row],[Балл минимальный]])/10),2)</f>
        <v>0.5</v>
      </c>
      <c r="BF16" s="42" t="e">
        <f t="shared" ca="1" si="11"/>
        <v>#N/A</v>
      </c>
    </row>
    <row r="17" spans="1:58" ht="16.5" x14ac:dyDescent="0.25">
      <c r="A17" s="81"/>
      <c r="B17" s="204"/>
      <c r="C17" s="37">
        <f t="shared" si="12"/>
        <v>0</v>
      </c>
      <c r="D17" s="64"/>
      <c r="E17" s="65"/>
      <c r="F17" s="65"/>
      <c r="G17" s="61"/>
      <c r="H17" s="61"/>
      <c r="I17" s="61"/>
      <c r="J17" s="61"/>
      <c r="K17" s="61"/>
      <c r="L17" s="61"/>
      <c r="M17" s="134"/>
      <c r="N17" s="83" t="str">
        <f>IFERROR(VLOOKUP(Таблица4383232[[#This Row],[Деф 1]],Лист1!$A$4:$F$72,2,FALSE),"")</f>
        <v/>
      </c>
      <c r="O17" s="83" t="str">
        <f>IFERROR(VLOOKUP(Таблица4383232[[#This Row],[Деф 2]],Лист1!$A$4:$F$72,2,FALSE),"")</f>
        <v/>
      </c>
      <c r="P17" s="84" t="str">
        <f>IFERROR(VLOOKUP(Таблица4383232[[#This Row],[Столбец4]],Лист1!$A$4:$F$72,2,FALSE),"")</f>
        <v/>
      </c>
      <c r="Q17" s="84" t="str">
        <f>IFERROR(VLOOKUP(Таблица4383232[[#This Row],[Столбец5]],Лист1!$A$4:$F$72,2,FALSE),"")</f>
        <v/>
      </c>
      <c r="R17" s="84" t="str">
        <f>IFERROR(VLOOKUP(Таблица4383232[[#This Row],[Столбец6]],Лист1!$A$4:$F$72,2,FALSE),"")</f>
        <v/>
      </c>
      <c r="S17" s="84" t="str">
        <f>IFERROR(VLOOKUP(Таблица4383232[[#This Row],[Столбец7]],Лист1!$A$4:$F$72,2,FALSE),"")</f>
        <v/>
      </c>
      <c r="T17" s="84" t="str">
        <f>IFERROR(VLOOKUP(Таблица4383232[[#This Row],[Столбец8]],Лист1!$A$4:$F$72,2,FALSE),"")</f>
        <v/>
      </c>
      <c r="U17" s="84" t="str">
        <f>IF(ISBLANK(Таблица4383232[[#This Row],[Столбец9]]),"",Таблица4383232[[#This Row],[Столбец9]])</f>
        <v/>
      </c>
      <c r="V17" s="85" t="str">
        <f>IFERROR(VLOOKUP(Таблица4383232[[#This Row],[Деф 1]],Лист1!$A$4:$F$72,3,FALSE),"")</f>
        <v/>
      </c>
      <c r="W17" s="86" t="str">
        <f>IFERROR(VLOOKUP(Таблица4383232[[#This Row],[Деф 2]],Лист1!$A$4:$F$72,3,FALSE),"")</f>
        <v/>
      </c>
      <c r="X17" s="86" t="str">
        <f>IFERROR(VLOOKUP(Таблица4383232[[#This Row],[Столбец4]],Лист1!$A$4:$F$72,3,FALSE),"")</f>
        <v/>
      </c>
      <c r="Y17" s="86" t="str">
        <f>IFERROR(VLOOKUP(Таблица4383232[[#This Row],[Столбец5]],Лист1!$A$4:$F$72,3,FALSE),"")</f>
        <v/>
      </c>
      <c r="Z17" s="86" t="str">
        <f>IFERROR(VLOOKUP(Таблица4383232[[#This Row],[Столбец6]],Лист1!$A$4:$F$72,3,FALSE),"")</f>
        <v/>
      </c>
      <c r="AA17" s="86" t="str">
        <f>IFERROR(VLOOKUP(Таблица4383232[[#This Row],[Столбец7]],Лист1!$A$4:$F$72,3,FALSE),"")</f>
        <v/>
      </c>
      <c r="AB17" s="86" t="str">
        <f>IFERROR(VLOOKUP(Таблица4383232[[#This Row],[Столбец8]],Лист1!$A$4:$F$72,3,FALSE),"")</f>
        <v/>
      </c>
      <c r="AC17" s="86" t="str">
        <f>IFERROR(VLOOKUP(Таблица4383232[[#This Row],[Столбец9]],Лист1!$A$4:$F$72,3,FALSE),"")</f>
        <v/>
      </c>
      <c r="AD17" s="57">
        <f t="shared" si="0"/>
        <v>0</v>
      </c>
      <c r="AE17" s="87">
        <f t="shared" si="1"/>
        <v>0</v>
      </c>
      <c r="AF17" s="88">
        <f t="shared" si="2"/>
        <v>0</v>
      </c>
      <c r="AG17" s="88">
        <f t="shared" si="3"/>
        <v>0</v>
      </c>
      <c r="AH17" s="88">
        <f t="shared" si="4"/>
        <v>0</v>
      </c>
      <c r="AI17" s="89">
        <f t="shared" si="5"/>
        <v>0</v>
      </c>
      <c r="AJ17" s="89" t="str">
        <f>IF(Таблица4383232[[#This Row],[Столбец42]]=0,"000",Таблица4383232[[#This Row],[Столбец42]])</f>
        <v>000</v>
      </c>
      <c r="AK17" s="89" t="str">
        <f>IF(Таблица4383232[[#This Row],[Столбец44]]=0,"000",Таблица4383232[[#This Row],[Столбец44]])</f>
        <v>000</v>
      </c>
      <c r="AL17" s="58"/>
      <c r="AM17" s="90" t="str">
        <f t="shared" si="6"/>
        <v>км 0+000 - км 0+000</v>
      </c>
      <c r="AN17" s="91" t="str">
        <f>IF(ISBLANK(Таблица4383232[[#This Row],[Столбец9]]),N17&amp;O17&amp;P17&amp;Q17&amp;R17&amp;S17&amp;T17&amp;U17,N17&amp;O17&amp;P17&amp;Q17&amp;R17&amp;S17&amp;T17&amp;U17&amp;";")</f>
        <v/>
      </c>
      <c r="AO17" s="92" t="e">
        <f>UPPER(LEFT(Таблица4383232[[#This Row],[Столбец48]],1))&amp;RIGHT(LOWER(Таблица4383232[[#This Row],[Столбец48]]),LEN(Таблица4383232[[#This Row],[Столбец48]])-1)</f>
        <v>#VALUE!</v>
      </c>
      <c r="AP17" s="59">
        <f t="shared" si="13"/>
        <v>0</v>
      </c>
      <c r="AQ17" s="93">
        <f t="shared" si="14"/>
        <v>0</v>
      </c>
      <c r="AR17" s="51"/>
      <c r="AS17" s="94">
        <f t="shared" si="15"/>
        <v>0</v>
      </c>
      <c r="AT17" s="95">
        <f t="shared" si="15"/>
        <v>0</v>
      </c>
      <c r="AU17" s="96">
        <f t="shared" si="8"/>
        <v>0</v>
      </c>
      <c r="AV17" s="97">
        <f t="shared" si="9"/>
        <v>0</v>
      </c>
      <c r="AW17" s="97" t="str">
        <f t="shared" si="10"/>
        <v>-</v>
      </c>
      <c r="AX17" s="60"/>
      <c r="AY17" s="44" t="str">
        <f>Таблица4383232[[#This Row],[Адрес дефекта, км +]]</f>
        <v>км 0+000 - км 0+000</v>
      </c>
      <c r="AZ17" s="45" t="str">
        <f>Таблица4383232[[#This Row],[Столбец55]]</f>
        <v>-</v>
      </c>
      <c r="BA17" s="43">
        <f>Таблица4383232[[#This Row],[Столбец59]]</f>
        <v>0.5</v>
      </c>
      <c r="BB17" s="60"/>
      <c r="BC17" s="60"/>
      <c r="BD17" s="98" t="str">
        <f>Таблица4383232[[#This Row],[Адрес дефекта, км +]]</f>
        <v>км 0+000 - км 0+000</v>
      </c>
      <c r="BE17" s="99">
        <f>ROUND(1-((5-Таблица4383232[[#This Row],[Балл минимальный]])/10),2)</f>
        <v>0.5</v>
      </c>
      <c r="BF17" s="100" t="e">
        <f t="shared" ca="1" si="11"/>
        <v>#N/A</v>
      </c>
    </row>
    <row r="18" spans="1:58" ht="16.5" x14ac:dyDescent="0.25">
      <c r="A18" s="107"/>
      <c r="B18" s="107"/>
      <c r="C18" s="108">
        <f t="shared" si="12"/>
        <v>0</v>
      </c>
      <c r="D18" s="64"/>
      <c r="E18" s="65"/>
      <c r="F18" s="65"/>
      <c r="G18" s="109"/>
      <c r="H18" s="109"/>
      <c r="I18" s="109"/>
      <c r="J18" s="109"/>
      <c r="K18" s="109"/>
      <c r="L18" s="109"/>
      <c r="M18" s="135"/>
      <c r="N18" s="110" t="str">
        <f>IFERROR(VLOOKUP(Таблица4383232[[#This Row],[Деф 1]],Лист1!$A$4:$F$72,2,FALSE),"")</f>
        <v/>
      </c>
      <c r="O18" s="110" t="str">
        <f>IFERROR(VLOOKUP(Таблица4383232[[#This Row],[Деф 2]],Лист1!$A$4:$F$72,2,FALSE),"")</f>
        <v/>
      </c>
      <c r="P18" s="111" t="str">
        <f>IFERROR(VLOOKUP(Таблица4383232[[#This Row],[Столбец4]],Лист1!$A$4:$F$72,2,FALSE),"")</f>
        <v/>
      </c>
      <c r="Q18" s="111" t="str">
        <f>IFERROR(VLOOKUP(Таблица4383232[[#This Row],[Столбец5]],Лист1!$A$4:$F$72,2,FALSE),"")</f>
        <v/>
      </c>
      <c r="R18" s="111" t="str">
        <f>IFERROR(VLOOKUP(Таблица4383232[[#This Row],[Столбец6]],Лист1!$A$4:$F$72,2,FALSE),"")</f>
        <v/>
      </c>
      <c r="S18" s="111" t="str">
        <f>IFERROR(VLOOKUP(Таблица4383232[[#This Row],[Столбец7]],Лист1!$A$4:$F$72,2,FALSE),"")</f>
        <v/>
      </c>
      <c r="T18" s="111" t="str">
        <f>IFERROR(VLOOKUP(Таблица4383232[[#This Row],[Столбец8]],Лист1!$A$4:$F$72,2,FALSE),"")</f>
        <v/>
      </c>
      <c r="U18" s="111" t="str">
        <f>IF(ISBLANK(Таблица4383232[[#This Row],[Столбец9]]),"",Таблица4383232[[#This Row],[Столбец9]])</f>
        <v/>
      </c>
      <c r="V18" s="112" t="str">
        <f>IFERROR(VLOOKUP(Таблица4383232[[#This Row],[Деф 1]],Лист1!$A$4:$F$72,3,FALSE),"")</f>
        <v/>
      </c>
      <c r="W18" s="113" t="str">
        <f>IFERROR(VLOOKUP(Таблица4383232[[#This Row],[Деф 2]],Лист1!$A$4:$F$72,3,FALSE),"")</f>
        <v/>
      </c>
      <c r="X18" s="113" t="str">
        <f>IFERROR(VLOOKUP(Таблица4383232[[#This Row],[Столбец4]],Лист1!$A$4:$F$72,3,FALSE),"")</f>
        <v/>
      </c>
      <c r="Y18" s="113" t="str">
        <f>IFERROR(VLOOKUP(Таблица4383232[[#This Row],[Столбец5]],Лист1!$A$4:$F$72,3,FALSE),"")</f>
        <v/>
      </c>
      <c r="Z18" s="113" t="str">
        <f>IFERROR(VLOOKUP(Таблица4383232[[#This Row],[Столбец6]],Лист1!$A$4:$F$72,3,FALSE),"")</f>
        <v/>
      </c>
      <c r="AA18" s="113" t="str">
        <f>IFERROR(VLOOKUP(Таблица4383232[[#This Row],[Столбец7]],Лист1!$A$4:$F$72,3,FALSE),"")</f>
        <v/>
      </c>
      <c r="AB18" s="113" t="str">
        <f>IFERROR(VLOOKUP(Таблица4383232[[#This Row],[Столбец8]],Лист1!$A$4:$F$72,3,FALSE),"")</f>
        <v/>
      </c>
      <c r="AC18" s="113" t="str">
        <f>IFERROR(VLOOKUP(Таблица4383232[[#This Row],[Столбец9]],Лист1!$A$4:$F$72,3,FALSE),"")</f>
        <v/>
      </c>
      <c r="AD18" s="102">
        <f t="shared" si="0"/>
        <v>0</v>
      </c>
      <c r="AE18" s="114">
        <f t="shared" si="1"/>
        <v>0</v>
      </c>
      <c r="AF18" s="115">
        <f t="shared" ref="AF18:AF25" si="16">ROUND(ROUNDDOWN(AD18,0),0)</f>
        <v>0</v>
      </c>
      <c r="AG18" s="115">
        <f t="shared" ref="AG18:AG25" si="17">ROUND((AD18-AF18)*1000,0)</f>
        <v>0</v>
      </c>
      <c r="AH18" s="115">
        <f t="shared" ref="AH18:AH25" si="18">ROUND(ROUNDDOWN(AE18,0),0)</f>
        <v>0</v>
      </c>
      <c r="AI18" s="116">
        <f t="shared" ref="AI18:AI25" si="19">ROUND((AE18-AH18)*1000,0)</f>
        <v>0</v>
      </c>
      <c r="AJ18" s="116" t="str">
        <f>IF(Таблица4383232[[#This Row],[Столбец42]]=0,"000",Таблица4383232[[#This Row],[Столбец42]])</f>
        <v>000</v>
      </c>
      <c r="AK18" s="116" t="str">
        <f>IF(Таблица4383232[[#This Row],[Столбец44]]=0,"000",Таблица4383232[[#This Row],[Столбец44]])</f>
        <v>000</v>
      </c>
      <c r="AL18" s="103"/>
      <c r="AM18" s="117" t="str">
        <f t="shared" ref="AM18:AM25" si="20">CONCATENATE("км ",AF18,"+",AJ18," - км ",AH18,"+",AK18)</f>
        <v>км 0+000 - км 0+000</v>
      </c>
      <c r="AN18" s="118" t="str">
        <f>IF(ISBLANK(Таблица4383232[[#This Row],[Столбец9]]),N18&amp;O18&amp;P18&amp;Q18&amp;R18&amp;S18&amp;T18&amp;U18,N18&amp;O18&amp;P18&amp;Q18&amp;R18&amp;S18&amp;T18&amp;U18&amp;";")</f>
        <v/>
      </c>
      <c r="AO18" s="119" t="e">
        <f>UPPER(LEFT(Таблица4383232[[#This Row],[Столбец48]],1))&amp;RIGHT(LOWER(Таблица4383232[[#This Row],[Столбец48]]),LEN(Таблица4383232[[#This Row],[Столбец48]])-1)</f>
        <v>#VALUE!</v>
      </c>
      <c r="AP18" s="104">
        <f t="shared" si="13"/>
        <v>0</v>
      </c>
      <c r="AQ18" s="120">
        <f t="shared" si="14"/>
        <v>0</v>
      </c>
      <c r="AR18" s="51"/>
      <c r="AS18" s="94">
        <f t="shared" ref="AS18:AT20" si="21">AD18</f>
        <v>0</v>
      </c>
      <c r="AT18" s="95">
        <f t="shared" si="21"/>
        <v>0</v>
      </c>
      <c r="AU18" s="96">
        <f t="shared" si="8"/>
        <v>0</v>
      </c>
      <c r="AV18" s="97">
        <f t="shared" si="9"/>
        <v>0</v>
      </c>
      <c r="AW18" s="97" t="str">
        <f t="shared" si="10"/>
        <v>-</v>
      </c>
      <c r="AX18" s="105"/>
      <c r="AY18" s="44" t="str">
        <f>Таблица4383232[[#This Row],[Адрес дефекта, км +]]</f>
        <v>км 0+000 - км 0+000</v>
      </c>
      <c r="AZ18" s="45" t="str">
        <f>Таблица4383232[[#This Row],[Столбец55]]</f>
        <v>-</v>
      </c>
      <c r="BA18" s="43">
        <f>Таблица4383232[[#This Row],[Столбец59]]</f>
        <v>0.5</v>
      </c>
      <c r="BB18" s="106"/>
      <c r="BC18" s="105"/>
      <c r="BD18" s="42" t="str">
        <f>Таблица4383232[[#This Row],[Адрес дефекта, км +]]</f>
        <v>км 0+000 - км 0+000</v>
      </c>
      <c r="BE18" s="43">
        <f>ROUND(1-((5-Таблица4383232[[#This Row],[Балл минимальный]])/10),2)</f>
        <v>0.5</v>
      </c>
      <c r="BF18" s="42" t="e">
        <f t="shared" ref="BF18:BF25" ca="1" si="22">ROUND(BE18*$N$4,0)</f>
        <v>#N/A</v>
      </c>
    </row>
    <row r="19" spans="1:58" ht="16.5" x14ac:dyDescent="0.25">
      <c r="A19" s="107"/>
      <c r="B19" s="107"/>
      <c r="C19" s="108">
        <f t="shared" si="12"/>
        <v>0</v>
      </c>
      <c r="D19" s="64"/>
      <c r="E19" s="65"/>
      <c r="F19" s="65"/>
      <c r="G19" s="109"/>
      <c r="H19" s="109"/>
      <c r="I19" s="109"/>
      <c r="J19" s="109"/>
      <c r="K19" s="109"/>
      <c r="L19" s="109"/>
      <c r="M19" s="135"/>
      <c r="N19" s="110" t="str">
        <f>IFERROR(VLOOKUP(Таблица4383232[[#This Row],[Деф 1]],Лист1!$A$4:$F$72,2,FALSE),"")</f>
        <v/>
      </c>
      <c r="O19" s="110" t="str">
        <f>IFERROR(VLOOKUP(Таблица4383232[[#This Row],[Деф 2]],Лист1!$A$4:$F$72,2,FALSE),"")</f>
        <v/>
      </c>
      <c r="P19" s="111" t="str">
        <f>IFERROR(VLOOKUP(Таблица4383232[[#This Row],[Столбец4]],Лист1!$A$4:$F$72,2,FALSE),"")</f>
        <v/>
      </c>
      <c r="Q19" s="111" t="str">
        <f>IFERROR(VLOOKUP(Таблица4383232[[#This Row],[Столбец5]],Лист1!$A$4:$F$72,2,FALSE),"")</f>
        <v/>
      </c>
      <c r="R19" s="111" t="str">
        <f>IFERROR(VLOOKUP(Таблица4383232[[#This Row],[Столбец6]],Лист1!$A$4:$F$72,2,FALSE),"")</f>
        <v/>
      </c>
      <c r="S19" s="111" t="str">
        <f>IFERROR(VLOOKUP(Таблица4383232[[#This Row],[Столбец7]],Лист1!$A$4:$F$72,2,FALSE),"")</f>
        <v/>
      </c>
      <c r="T19" s="111" t="str">
        <f>IFERROR(VLOOKUP(Таблица4383232[[#This Row],[Столбец8]],Лист1!$A$4:$F$72,2,FALSE),"")</f>
        <v/>
      </c>
      <c r="U19" s="111" t="str">
        <f>IF(ISBLANK(Таблица4383232[[#This Row],[Столбец9]]),"",Таблица4383232[[#This Row],[Столбец9]])</f>
        <v/>
      </c>
      <c r="V19" s="112" t="str">
        <f>IFERROR(VLOOKUP(Таблица4383232[[#This Row],[Деф 1]],Лист1!$A$4:$F$72,3,FALSE),"")</f>
        <v/>
      </c>
      <c r="W19" s="113" t="str">
        <f>IFERROR(VLOOKUP(Таблица4383232[[#This Row],[Деф 2]],Лист1!$A$4:$F$72,3,FALSE),"")</f>
        <v/>
      </c>
      <c r="X19" s="113" t="str">
        <f>IFERROR(VLOOKUP(Таблица4383232[[#This Row],[Столбец4]],Лист1!$A$4:$F$72,3,FALSE),"")</f>
        <v/>
      </c>
      <c r="Y19" s="113" t="str">
        <f>IFERROR(VLOOKUP(Таблица4383232[[#This Row],[Столбец5]],Лист1!$A$4:$F$72,3,FALSE),"")</f>
        <v/>
      </c>
      <c r="Z19" s="113" t="str">
        <f>IFERROR(VLOOKUP(Таблица4383232[[#This Row],[Столбец6]],Лист1!$A$4:$F$72,3,FALSE),"")</f>
        <v/>
      </c>
      <c r="AA19" s="113" t="str">
        <f>IFERROR(VLOOKUP(Таблица4383232[[#This Row],[Столбец7]],Лист1!$A$4:$F$72,3,FALSE),"")</f>
        <v/>
      </c>
      <c r="AB19" s="113" t="str">
        <f>IFERROR(VLOOKUP(Таблица4383232[[#This Row],[Столбец8]],Лист1!$A$4:$F$72,3,FALSE),"")</f>
        <v/>
      </c>
      <c r="AC19" s="113" t="str">
        <f>IFERROR(VLOOKUP(Таблица4383232[[#This Row],[Столбец9]],Лист1!$A$4:$F$72,3,FALSE),"")</f>
        <v/>
      </c>
      <c r="AD19" s="102">
        <f t="shared" si="0"/>
        <v>0</v>
      </c>
      <c r="AE19" s="114">
        <f t="shared" si="1"/>
        <v>0</v>
      </c>
      <c r="AF19" s="115">
        <f t="shared" si="16"/>
        <v>0</v>
      </c>
      <c r="AG19" s="115">
        <f t="shared" si="17"/>
        <v>0</v>
      </c>
      <c r="AH19" s="115">
        <f t="shared" si="18"/>
        <v>0</v>
      </c>
      <c r="AI19" s="116">
        <f t="shared" si="19"/>
        <v>0</v>
      </c>
      <c r="AJ19" s="116" t="str">
        <f>IF(Таблица4383232[[#This Row],[Столбец42]]=0,"000",Таблица4383232[[#This Row],[Столбец42]])</f>
        <v>000</v>
      </c>
      <c r="AK19" s="116" t="str">
        <f>IF(Таблица4383232[[#This Row],[Столбец44]]=0,"000",Таблица4383232[[#This Row],[Столбец44]])</f>
        <v>000</v>
      </c>
      <c r="AL19" s="103"/>
      <c r="AM19" s="117" t="str">
        <f t="shared" si="20"/>
        <v>км 0+000 - км 0+000</v>
      </c>
      <c r="AN19" s="118" t="str">
        <f>IF(ISBLANK(Таблица4383232[[#This Row],[Столбец9]]),N19&amp;O19&amp;P19&amp;Q19&amp;R19&amp;S19&amp;T19&amp;U19,N19&amp;O19&amp;P19&amp;Q19&amp;R19&amp;S19&amp;T19&amp;U19&amp;";")</f>
        <v/>
      </c>
      <c r="AO19" s="119" t="e">
        <f>UPPER(LEFT(Таблица4383232[[#This Row],[Столбец48]],1))&amp;RIGHT(LOWER(Таблица4383232[[#This Row],[Столбец48]]),LEN(Таблица4383232[[#This Row],[Столбец48]])-1)</f>
        <v>#VALUE!</v>
      </c>
      <c r="AP19" s="104">
        <f t="shared" si="13"/>
        <v>0</v>
      </c>
      <c r="AQ19" s="120">
        <f t="shared" si="14"/>
        <v>0</v>
      </c>
      <c r="AR19" s="51"/>
      <c r="AS19" s="94">
        <f t="shared" si="21"/>
        <v>0</v>
      </c>
      <c r="AT19" s="95">
        <f t="shared" si="21"/>
        <v>0</v>
      </c>
      <c r="AU19" s="96">
        <f t="shared" si="8"/>
        <v>0</v>
      </c>
      <c r="AV19" s="97">
        <f t="shared" si="9"/>
        <v>0</v>
      </c>
      <c r="AW19" s="97" t="str">
        <f t="shared" si="10"/>
        <v>-</v>
      </c>
      <c r="AX19" s="105"/>
      <c r="AY19" s="44" t="str">
        <f>Таблица4383232[[#This Row],[Адрес дефекта, км +]]</f>
        <v>км 0+000 - км 0+000</v>
      </c>
      <c r="AZ19" s="45" t="str">
        <f>Таблица4383232[[#This Row],[Столбец55]]</f>
        <v>-</v>
      </c>
      <c r="BA19" s="43">
        <f>Таблица4383232[[#This Row],[Столбец59]]</f>
        <v>0.5</v>
      </c>
      <c r="BB19" s="106"/>
      <c r="BC19" s="105"/>
      <c r="BD19" s="98" t="str">
        <f>Таблица4383232[[#This Row],[Адрес дефекта, км +]]</f>
        <v>км 0+000 - км 0+000</v>
      </c>
      <c r="BE19" s="99">
        <f>ROUND(1-((5-Таблица4383232[[#This Row],[Балл минимальный]])/10),2)</f>
        <v>0.5</v>
      </c>
      <c r="BF19" s="100" t="e">
        <f t="shared" ca="1" si="22"/>
        <v>#N/A</v>
      </c>
    </row>
    <row r="20" spans="1:58" ht="16.5" x14ac:dyDescent="0.25">
      <c r="A20" s="107"/>
      <c r="B20" s="107"/>
      <c r="C20" s="108">
        <f t="shared" si="12"/>
        <v>0</v>
      </c>
      <c r="D20" s="64"/>
      <c r="E20" s="65"/>
      <c r="F20" s="65"/>
      <c r="G20" s="109"/>
      <c r="H20" s="109"/>
      <c r="I20" s="109"/>
      <c r="J20" s="109"/>
      <c r="K20" s="109"/>
      <c r="L20" s="109"/>
      <c r="M20" s="135"/>
      <c r="N20" s="110" t="str">
        <f>IFERROR(VLOOKUP(Таблица4383232[[#This Row],[Деф 1]],Лист1!$A$4:$F$72,2,FALSE),"")</f>
        <v/>
      </c>
      <c r="O20" s="110" t="str">
        <f>IFERROR(VLOOKUP(Таблица4383232[[#This Row],[Деф 2]],Лист1!$A$4:$F$72,2,FALSE),"")</f>
        <v/>
      </c>
      <c r="P20" s="111" t="str">
        <f>IFERROR(VLOOKUP(Таблица4383232[[#This Row],[Столбец4]],Лист1!$A$4:$F$72,2,FALSE),"")</f>
        <v/>
      </c>
      <c r="Q20" s="111" t="str">
        <f>IFERROR(VLOOKUP(Таблица4383232[[#This Row],[Столбец5]],Лист1!$A$4:$F$72,2,FALSE),"")</f>
        <v/>
      </c>
      <c r="R20" s="111" t="str">
        <f>IFERROR(VLOOKUP(Таблица4383232[[#This Row],[Столбец6]],Лист1!$A$4:$F$72,2,FALSE),"")</f>
        <v/>
      </c>
      <c r="S20" s="111" t="str">
        <f>IFERROR(VLOOKUP(Таблица4383232[[#This Row],[Столбец7]],Лист1!$A$4:$F$72,2,FALSE),"")</f>
        <v/>
      </c>
      <c r="T20" s="111" t="str">
        <f>IFERROR(VLOOKUP(Таблица4383232[[#This Row],[Столбец8]],Лист1!$A$4:$F$72,2,FALSE),"")</f>
        <v/>
      </c>
      <c r="U20" s="111" t="str">
        <f>IF(ISBLANK(Таблица4383232[[#This Row],[Столбец9]]),"",Таблица4383232[[#This Row],[Столбец9]])</f>
        <v/>
      </c>
      <c r="V20" s="112" t="str">
        <f>IFERROR(VLOOKUP(Таблица4383232[[#This Row],[Деф 1]],Лист1!$A$4:$F$72,3,FALSE),"")</f>
        <v/>
      </c>
      <c r="W20" s="113" t="str">
        <f>IFERROR(VLOOKUP(Таблица4383232[[#This Row],[Деф 2]],Лист1!$A$4:$F$72,3,FALSE),"")</f>
        <v/>
      </c>
      <c r="X20" s="113" t="str">
        <f>IFERROR(VLOOKUP(Таблица4383232[[#This Row],[Столбец4]],Лист1!$A$4:$F$72,3,FALSE),"")</f>
        <v/>
      </c>
      <c r="Y20" s="113" t="str">
        <f>IFERROR(VLOOKUP(Таблица4383232[[#This Row],[Столбец5]],Лист1!$A$4:$F$72,3,FALSE),"")</f>
        <v/>
      </c>
      <c r="Z20" s="113" t="str">
        <f>IFERROR(VLOOKUP(Таблица4383232[[#This Row],[Столбец6]],Лист1!$A$4:$F$72,3,FALSE),"")</f>
        <v/>
      </c>
      <c r="AA20" s="113" t="str">
        <f>IFERROR(VLOOKUP(Таблица4383232[[#This Row],[Столбец7]],Лист1!$A$4:$F$72,3,FALSE),"")</f>
        <v/>
      </c>
      <c r="AB20" s="113" t="str">
        <f>IFERROR(VLOOKUP(Таблица4383232[[#This Row],[Столбец8]],Лист1!$A$4:$F$72,3,FALSE),"")</f>
        <v/>
      </c>
      <c r="AC20" s="113" t="str">
        <f>IFERROR(VLOOKUP(Таблица4383232[[#This Row],[Столбец9]],Лист1!$A$4:$F$72,3,FALSE),"")</f>
        <v/>
      </c>
      <c r="AD20" s="102">
        <f t="shared" si="0"/>
        <v>0</v>
      </c>
      <c r="AE20" s="114">
        <f t="shared" si="1"/>
        <v>0</v>
      </c>
      <c r="AF20" s="115">
        <f t="shared" si="16"/>
        <v>0</v>
      </c>
      <c r="AG20" s="115">
        <f t="shared" si="17"/>
        <v>0</v>
      </c>
      <c r="AH20" s="115">
        <f t="shared" si="18"/>
        <v>0</v>
      </c>
      <c r="AI20" s="116">
        <f t="shared" si="19"/>
        <v>0</v>
      </c>
      <c r="AJ20" s="116" t="str">
        <f>IF(Таблица4383232[[#This Row],[Столбец42]]=0,"000",Таблица4383232[[#This Row],[Столбец42]])</f>
        <v>000</v>
      </c>
      <c r="AK20" s="116" t="str">
        <f>IF(Таблица4383232[[#This Row],[Столбец44]]=0,"000",Таблица4383232[[#This Row],[Столбец44]])</f>
        <v>000</v>
      </c>
      <c r="AL20" s="103"/>
      <c r="AM20" s="117" t="str">
        <f t="shared" si="20"/>
        <v>км 0+000 - км 0+000</v>
      </c>
      <c r="AN20" s="118" t="str">
        <f>IF(ISBLANK(Таблица4383232[[#This Row],[Столбец9]]),N20&amp;O20&amp;P20&amp;Q20&amp;R20&amp;S20&amp;T20&amp;U20,N20&amp;O20&amp;P20&amp;Q20&amp;R20&amp;S20&amp;T20&amp;U20&amp;";")</f>
        <v/>
      </c>
      <c r="AO20" s="119" t="e">
        <f>UPPER(LEFT(Таблица4383232[[#This Row],[Столбец48]],1))&amp;RIGHT(LOWER(Таблица4383232[[#This Row],[Столбец48]]),LEN(Таблица4383232[[#This Row],[Столбец48]])-1)</f>
        <v>#VALUE!</v>
      </c>
      <c r="AP20" s="104">
        <f t="shared" si="13"/>
        <v>0</v>
      </c>
      <c r="AQ20" s="120">
        <f t="shared" si="14"/>
        <v>0</v>
      </c>
      <c r="AR20" s="51"/>
      <c r="AS20" s="94">
        <f t="shared" si="21"/>
        <v>0</v>
      </c>
      <c r="AT20" s="95">
        <f t="shared" si="21"/>
        <v>0</v>
      </c>
      <c r="AU20" s="96">
        <f t="shared" si="8"/>
        <v>0</v>
      </c>
      <c r="AV20" s="97">
        <f t="shared" si="9"/>
        <v>0</v>
      </c>
      <c r="AW20" s="97" t="str">
        <f t="shared" si="10"/>
        <v>-</v>
      </c>
      <c r="AX20" s="105"/>
      <c r="AY20" s="44" t="str">
        <f>Таблица4383232[[#This Row],[Адрес дефекта, км +]]</f>
        <v>км 0+000 - км 0+000</v>
      </c>
      <c r="AZ20" s="45" t="str">
        <f>Таблица4383232[[#This Row],[Столбец55]]</f>
        <v>-</v>
      </c>
      <c r="BA20" s="43">
        <f>Таблица4383232[[#This Row],[Столбец59]]</f>
        <v>0.5</v>
      </c>
      <c r="BB20" s="106"/>
      <c r="BC20" s="105"/>
      <c r="BD20" s="42" t="str">
        <f>Таблица4383232[[#This Row],[Адрес дефекта, км +]]</f>
        <v>км 0+000 - км 0+000</v>
      </c>
      <c r="BE20" s="43">
        <f>ROUND(1-((5-Таблица4383232[[#This Row],[Балл минимальный]])/10),2)</f>
        <v>0.5</v>
      </c>
      <c r="BF20" s="42" t="e">
        <f t="shared" ca="1" si="22"/>
        <v>#N/A</v>
      </c>
    </row>
    <row r="21" spans="1:58" ht="16.5" x14ac:dyDescent="0.25">
      <c r="A21" s="81"/>
      <c r="B21" s="81"/>
      <c r="C21" s="82">
        <f>B21-A21</f>
        <v>0</v>
      </c>
      <c r="D21" s="64"/>
      <c r="E21" s="65"/>
      <c r="F21" s="65"/>
      <c r="G21" s="61"/>
      <c r="H21" s="61"/>
      <c r="I21" s="61"/>
      <c r="J21" s="61"/>
      <c r="K21" s="61"/>
      <c r="L21" s="61"/>
      <c r="M21" s="134"/>
      <c r="N21" s="83" t="str">
        <f>IFERROR(VLOOKUP(Таблица4383232[[#This Row],[Деф 1]],Лист1!$A$4:$F$72,2,FALSE),"")</f>
        <v/>
      </c>
      <c r="O21" s="83" t="str">
        <f>IFERROR(VLOOKUP(Таблица4383232[[#This Row],[Деф 2]],Лист1!$A$4:$F$72,2,FALSE),"")</f>
        <v/>
      </c>
      <c r="P21" s="84" t="str">
        <f>IFERROR(VLOOKUP(Таблица4383232[[#This Row],[Столбец4]],Лист1!$A$4:$F$72,2,FALSE),"")</f>
        <v/>
      </c>
      <c r="Q21" s="84" t="str">
        <f>IFERROR(VLOOKUP(Таблица4383232[[#This Row],[Столбец5]],Лист1!$A$4:$F$72,2,FALSE),"")</f>
        <v/>
      </c>
      <c r="R21" s="84" t="str">
        <f>IFERROR(VLOOKUP(Таблица4383232[[#This Row],[Столбец6]],Лист1!$A$4:$F$72,2,FALSE),"")</f>
        <v/>
      </c>
      <c r="S21" s="84" t="str">
        <f>IFERROR(VLOOKUP(Таблица4383232[[#This Row],[Столбец7]],Лист1!$A$4:$F$72,2,FALSE),"")</f>
        <v/>
      </c>
      <c r="T21" s="84" t="str">
        <f>IFERROR(VLOOKUP(Таблица4383232[[#This Row],[Столбец8]],Лист1!$A$4:$F$72,2,FALSE),"")</f>
        <v/>
      </c>
      <c r="U21" s="84" t="str">
        <f>IF(ISBLANK(Таблица4383232[[#This Row],[Столбец9]]),"",Таблица4383232[[#This Row],[Столбец9]])</f>
        <v/>
      </c>
      <c r="V21" s="85" t="str">
        <f>IFERROR(VLOOKUP(Таблица4383232[[#This Row],[Деф 1]],Лист1!$A$4:$F$72,3,FALSE),"")</f>
        <v/>
      </c>
      <c r="W21" s="86" t="str">
        <f>IFERROR(VLOOKUP(Таблица4383232[[#This Row],[Деф 2]],Лист1!$A$4:$F$72,3,FALSE),"")</f>
        <v/>
      </c>
      <c r="X21" s="86" t="str">
        <f>IFERROR(VLOOKUP(Таблица4383232[[#This Row],[Столбец4]],Лист1!$A$4:$F$72,3,FALSE),"")</f>
        <v/>
      </c>
      <c r="Y21" s="86" t="str">
        <f>IFERROR(VLOOKUP(Таблица4383232[[#This Row],[Столбец5]],Лист1!$A$4:$F$72,3,FALSE),"")</f>
        <v/>
      </c>
      <c r="Z21" s="86" t="str">
        <f>IFERROR(VLOOKUP(Таблица4383232[[#This Row],[Столбец6]],Лист1!$A$4:$F$72,3,FALSE),"")</f>
        <v/>
      </c>
      <c r="AA21" s="86" t="str">
        <f>IFERROR(VLOOKUP(Таблица4383232[[#This Row],[Столбец7]],Лист1!$A$4:$F$72,3,FALSE),"")</f>
        <v/>
      </c>
      <c r="AB21" s="86" t="str">
        <f>IFERROR(VLOOKUP(Таблица4383232[[#This Row],[Столбец8]],Лист1!$A$4:$F$72,3,FALSE),"")</f>
        <v/>
      </c>
      <c r="AC21" s="86" t="str">
        <f>IFERROR(VLOOKUP(Таблица4383232[[#This Row],[Столбец9]],Лист1!$A$4:$F$72,3,FALSE),"")</f>
        <v/>
      </c>
      <c r="AD21" s="57">
        <f t="shared" si="0"/>
        <v>0</v>
      </c>
      <c r="AE21" s="87">
        <f t="shared" si="1"/>
        <v>0</v>
      </c>
      <c r="AF21" s="88">
        <f t="shared" si="16"/>
        <v>0</v>
      </c>
      <c r="AG21" s="88">
        <f t="shared" si="17"/>
        <v>0</v>
      </c>
      <c r="AH21" s="88">
        <f t="shared" si="18"/>
        <v>0</v>
      </c>
      <c r="AI21" s="89">
        <f t="shared" si="19"/>
        <v>0</v>
      </c>
      <c r="AJ21" s="89" t="str">
        <f>IF(Таблица4383232[[#This Row],[Столбец42]]=0,"000",Таблица4383232[[#This Row],[Столбец42]])</f>
        <v>000</v>
      </c>
      <c r="AK21" s="89" t="str">
        <f>IF(Таблица4383232[[#This Row],[Столбец44]]=0,"000",Таблица4383232[[#This Row],[Столбец44]])</f>
        <v>000</v>
      </c>
      <c r="AL21" s="58"/>
      <c r="AM21" s="90" t="str">
        <f t="shared" si="20"/>
        <v>км 0+000 - км 0+000</v>
      </c>
      <c r="AN21" s="91" t="str">
        <f>IF(ISBLANK(Таблица4383232[[#This Row],[Столбец9]]),N21&amp;O21&amp;P21&amp;Q21&amp;R21&amp;S21&amp;T21&amp;U21,N21&amp;O21&amp;P21&amp;Q21&amp;R21&amp;S21&amp;T21&amp;U21&amp;";")</f>
        <v/>
      </c>
      <c r="AO21" s="92" t="e">
        <f>UPPER(LEFT(Таблица4383232[[#This Row],[Столбец48]],1))&amp;RIGHT(LOWER(Таблица4383232[[#This Row],[Столбец48]]),LEN(Таблица4383232[[#This Row],[Столбец48]])-1)</f>
        <v>#VALUE!</v>
      </c>
      <c r="AP21" s="59">
        <f>MIN(V21:AC21)</f>
        <v>0</v>
      </c>
      <c r="AQ21" s="93">
        <f>AP21*C21</f>
        <v>0</v>
      </c>
      <c r="AR21" s="51"/>
      <c r="AS21" s="94">
        <f t="shared" ref="AS21:AT25" si="23">AD21</f>
        <v>0</v>
      </c>
      <c r="AT21" s="95">
        <f t="shared" si="23"/>
        <v>0</v>
      </c>
      <c r="AU21" s="96">
        <f t="shared" si="8"/>
        <v>0</v>
      </c>
      <c r="AV21" s="97">
        <f t="shared" si="9"/>
        <v>0</v>
      </c>
      <c r="AW21" s="97" t="str">
        <f t="shared" si="10"/>
        <v>-</v>
      </c>
      <c r="AX21" s="60"/>
      <c r="AY21" s="44" t="str">
        <f>Таблица4383232[[#This Row],[Адрес дефекта, км +]]</f>
        <v>км 0+000 - км 0+000</v>
      </c>
      <c r="AZ21" s="45" t="str">
        <f>Таблица4383232[[#This Row],[Столбец55]]</f>
        <v>-</v>
      </c>
      <c r="BA21" s="43">
        <f>Таблица4383232[[#This Row],[Столбец59]]</f>
        <v>0.5</v>
      </c>
      <c r="BB21" s="123"/>
      <c r="BC21" s="60"/>
      <c r="BD21" s="98" t="str">
        <f>Таблица4383232[[#This Row],[Адрес дефекта, км +]]</f>
        <v>км 0+000 - км 0+000</v>
      </c>
      <c r="BE21" s="99">
        <f>ROUND(1-((5-Таблица4383232[[#This Row],[Балл минимальный]])/10),2)</f>
        <v>0.5</v>
      </c>
      <c r="BF21" s="100" t="e">
        <f t="shared" ca="1" si="22"/>
        <v>#N/A</v>
      </c>
    </row>
    <row r="22" spans="1:58" ht="16.5" x14ac:dyDescent="0.25">
      <c r="A22" s="81"/>
      <c r="B22" s="81"/>
      <c r="C22" s="82">
        <f>B22-A22</f>
        <v>0</v>
      </c>
      <c r="D22" s="64"/>
      <c r="E22" s="65"/>
      <c r="F22" s="65"/>
      <c r="G22" s="61"/>
      <c r="H22" s="61"/>
      <c r="I22" s="61"/>
      <c r="J22" s="61"/>
      <c r="K22" s="61"/>
      <c r="L22" s="61"/>
      <c r="M22" s="134"/>
      <c r="N22" s="83" t="str">
        <f>IFERROR(VLOOKUP(Таблица4383232[[#This Row],[Деф 1]],Лист1!$A$4:$F$72,2,FALSE),"")</f>
        <v/>
      </c>
      <c r="O22" s="83" t="str">
        <f>IFERROR(VLOOKUP(Таблица4383232[[#This Row],[Деф 2]],Лист1!$A$4:$F$72,2,FALSE),"")</f>
        <v/>
      </c>
      <c r="P22" s="84" t="str">
        <f>IFERROR(VLOOKUP(Таблица4383232[[#This Row],[Столбец4]],Лист1!$A$4:$F$72,2,FALSE),"")</f>
        <v/>
      </c>
      <c r="Q22" s="84" t="str">
        <f>IFERROR(VLOOKUP(Таблица4383232[[#This Row],[Столбец5]],Лист1!$A$4:$F$72,2,FALSE),"")</f>
        <v/>
      </c>
      <c r="R22" s="84" t="str">
        <f>IFERROR(VLOOKUP(Таблица4383232[[#This Row],[Столбец6]],Лист1!$A$4:$F$72,2,FALSE),"")</f>
        <v/>
      </c>
      <c r="S22" s="84" t="str">
        <f>IFERROR(VLOOKUP(Таблица4383232[[#This Row],[Столбец7]],Лист1!$A$4:$F$72,2,FALSE),"")</f>
        <v/>
      </c>
      <c r="T22" s="84" t="str">
        <f>IFERROR(VLOOKUP(Таблица4383232[[#This Row],[Столбец8]],Лист1!$A$4:$F$72,2,FALSE),"")</f>
        <v/>
      </c>
      <c r="U22" s="84" t="str">
        <f>IF(ISBLANK(Таблица4383232[[#This Row],[Столбец9]]),"",Таблица4383232[[#This Row],[Столбец9]])</f>
        <v/>
      </c>
      <c r="V22" s="85" t="str">
        <f>IFERROR(VLOOKUP(Таблица4383232[[#This Row],[Деф 1]],Лист1!$A$4:$F$72,3,FALSE),"")</f>
        <v/>
      </c>
      <c r="W22" s="86" t="str">
        <f>IFERROR(VLOOKUP(Таблица4383232[[#This Row],[Деф 2]],Лист1!$A$4:$F$72,3,FALSE),"")</f>
        <v/>
      </c>
      <c r="X22" s="86" t="str">
        <f>IFERROR(VLOOKUP(Таблица4383232[[#This Row],[Столбец4]],Лист1!$A$4:$F$72,3,FALSE),"")</f>
        <v/>
      </c>
      <c r="Y22" s="86" t="str">
        <f>IFERROR(VLOOKUP(Таблица4383232[[#This Row],[Столбец5]],Лист1!$A$4:$F$72,3,FALSE),"")</f>
        <v/>
      </c>
      <c r="Z22" s="86" t="str">
        <f>IFERROR(VLOOKUP(Таблица4383232[[#This Row],[Столбец6]],Лист1!$A$4:$F$72,3,FALSE),"")</f>
        <v/>
      </c>
      <c r="AA22" s="86" t="str">
        <f>IFERROR(VLOOKUP(Таблица4383232[[#This Row],[Столбец7]],Лист1!$A$4:$F$72,3,FALSE),"")</f>
        <v/>
      </c>
      <c r="AB22" s="86" t="str">
        <f>IFERROR(VLOOKUP(Таблица4383232[[#This Row],[Столбец8]],Лист1!$A$4:$F$72,3,FALSE),"")</f>
        <v/>
      </c>
      <c r="AC22" s="86" t="str">
        <f>IFERROR(VLOOKUP(Таблица4383232[[#This Row],[Столбец9]],Лист1!$A$4:$F$72,3,FALSE),"")</f>
        <v/>
      </c>
      <c r="AD22" s="57">
        <f t="shared" si="0"/>
        <v>0</v>
      </c>
      <c r="AE22" s="87">
        <f t="shared" si="1"/>
        <v>0</v>
      </c>
      <c r="AF22" s="88">
        <f t="shared" si="16"/>
        <v>0</v>
      </c>
      <c r="AG22" s="88">
        <f t="shared" si="17"/>
        <v>0</v>
      </c>
      <c r="AH22" s="88">
        <f t="shared" si="18"/>
        <v>0</v>
      </c>
      <c r="AI22" s="89">
        <f t="shared" si="19"/>
        <v>0</v>
      </c>
      <c r="AJ22" s="89" t="str">
        <f>IF(Таблица4383232[[#This Row],[Столбец42]]=0,"000",Таблица4383232[[#This Row],[Столбец42]])</f>
        <v>000</v>
      </c>
      <c r="AK22" s="89" t="str">
        <f>IF(Таблица4383232[[#This Row],[Столбец44]]=0,"000",Таблица4383232[[#This Row],[Столбец44]])</f>
        <v>000</v>
      </c>
      <c r="AL22" s="58"/>
      <c r="AM22" s="90" t="str">
        <f t="shared" si="20"/>
        <v>км 0+000 - км 0+000</v>
      </c>
      <c r="AN22" s="91" t="str">
        <f>IF(ISBLANK(Таблица4383232[[#This Row],[Столбец9]]),N22&amp;O22&amp;P22&amp;Q22&amp;R22&amp;S22&amp;T22&amp;U22,N22&amp;O22&amp;P22&amp;Q22&amp;R22&amp;S22&amp;T22&amp;U22&amp;";")</f>
        <v/>
      </c>
      <c r="AO22" s="92" t="e">
        <f>UPPER(LEFT(Таблица4383232[[#This Row],[Столбец48]],1))&amp;RIGHT(LOWER(Таблица4383232[[#This Row],[Столбец48]]),LEN(Таблица4383232[[#This Row],[Столбец48]])-1)</f>
        <v>#VALUE!</v>
      </c>
      <c r="AP22" s="59">
        <f>MIN(V22:AC22)</f>
        <v>0</v>
      </c>
      <c r="AQ22" s="93">
        <f>AP22*C22</f>
        <v>0</v>
      </c>
      <c r="AR22" s="51"/>
      <c r="AS22" s="94">
        <f t="shared" si="23"/>
        <v>0</v>
      </c>
      <c r="AT22" s="95">
        <f t="shared" si="23"/>
        <v>0</v>
      </c>
      <c r="AU22" s="96">
        <f t="shared" si="8"/>
        <v>0</v>
      </c>
      <c r="AV22" s="97">
        <f t="shared" si="9"/>
        <v>0</v>
      </c>
      <c r="AW22" s="97" t="str">
        <f t="shared" si="10"/>
        <v>-</v>
      </c>
      <c r="AX22" s="60"/>
      <c r="AY22" s="44" t="str">
        <f>Таблица4383232[[#This Row],[Адрес дефекта, км +]]</f>
        <v>км 0+000 - км 0+000</v>
      </c>
      <c r="AZ22" s="45" t="str">
        <f>Таблица4383232[[#This Row],[Столбец55]]</f>
        <v>-</v>
      </c>
      <c r="BA22" s="43">
        <f>Таблица4383232[[#This Row],[Столбец59]]</f>
        <v>0.5</v>
      </c>
      <c r="BB22" s="123"/>
      <c r="BC22" s="60"/>
      <c r="BD22" s="98" t="str">
        <f>Таблица4383232[[#This Row],[Адрес дефекта, км +]]</f>
        <v>км 0+000 - км 0+000</v>
      </c>
      <c r="BE22" s="99">
        <f>ROUND(1-((5-Таблица4383232[[#This Row],[Балл минимальный]])/10),2)</f>
        <v>0.5</v>
      </c>
      <c r="BF22" s="100" t="e">
        <f t="shared" ca="1" si="22"/>
        <v>#N/A</v>
      </c>
    </row>
    <row r="23" spans="1:58" ht="16.5" x14ac:dyDescent="0.25">
      <c r="A23" s="81"/>
      <c r="B23" s="81"/>
      <c r="C23" s="82">
        <f>B23-A23</f>
        <v>0</v>
      </c>
      <c r="D23" s="64"/>
      <c r="E23" s="65"/>
      <c r="F23" s="65"/>
      <c r="G23" s="61"/>
      <c r="H23" s="61"/>
      <c r="I23" s="61"/>
      <c r="J23" s="61"/>
      <c r="K23" s="61"/>
      <c r="L23" s="61"/>
      <c r="M23" s="134"/>
      <c r="N23" s="83" t="str">
        <f>IFERROR(VLOOKUP(Таблица4383232[[#This Row],[Деф 1]],Лист1!$A$4:$F$72,2,FALSE),"")</f>
        <v/>
      </c>
      <c r="O23" s="83" t="str">
        <f>IFERROR(VLOOKUP(Таблица4383232[[#This Row],[Деф 2]],Лист1!$A$4:$F$72,2,FALSE),"")</f>
        <v/>
      </c>
      <c r="P23" s="84" t="str">
        <f>IFERROR(VLOOKUP(Таблица4383232[[#This Row],[Столбец4]],Лист1!$A$4:$F$72,2,FALSE),"")</f>
        <v/>
      </c>
      <c r="Q23" s="84" t="str">
        <f>IFERROR(VLOOKUP(Таблица4383232[[#This Row],[Столбец5]],Лист1!$A$4:$F$72,2,FALSE),"")</f>
        <v/>
      </c>
      <c r="R23" s="84" t="str">
        <f>IFERROR(VLOOKUP(Таблица4383232[[#This Row],[Столбец6]],Лист1!$A$4:$F$72,2,FALSE),"")</f>
        <v/>
      </c>
      <c r="S23" s="84" t="str">
        <f>IFERROR(VLOOKUP(Таблица4383232[[#This Row],[Столбец7]],Лист1!$A$4:$F$72,2,FALSE),"")</f>
        <v/>
      </c>
      <c r="T23" s="84" t="str">
        <f>IFERROR(VLOOKUP(Таблица4383232[[#This Row],[Столбец8]],Лист1!$A$4:$F$72,2,FALSE),"")</f>
        <v/>
      </c>
      <c r="U23" s="84" t="str">
        <f>IF(ISBLANK(Таблица4383232[[#This Row],[Столбец9]]),"",Таблица4383232[[#This Row],[Столбец9]])</f>
        <v/>
      </c>
      <c r="V23" s="85" t="str">
        <f>IFERROR(VLOOKUP(Таблица4383232[[#This Row],[Деф 1]],Лист1!$A$4:$F$72,3,FALSE),"")</f>
        <v/>
      </c>
      <c r="W23" s="86" t="str">
        <f>IFERROR(VLOOKUP(Таблица4383232[[#This Row],[Деф 2]],Лист1!$A$4:$F$72,3,FALSE),"")</f>
        <v/>
      </c>
      <c r="X23" s="86" t="str">
        <f>IFERROR(VLOOKUP(Таблица4383232[[#This Row],[Столбец4]],Лист1!$A$4:$F$72,3,FALSE),"")</f>
        <v/>
      </c>
      <c r="Y23" s="86" t="str">
        <f>IFERROR(VLOOKUP(Таблица4383232[[#This Row],[Столбец5]],Лист1!$A$4:$F$72,3,FALSE),"")</f>
        <v/>
      </c>
      <c r="Z23" s="86" t="str">
        <f>IFERROR(VLOOKUP(Таблица4383232[[#This Row],[Столбец6]],Лист1!$A$4:$F$72,3,FALSE),"")</f>
        <v/>
      </c>
      <c r="AA23" s="86" t="str">
        <f>IFERROR(VLOOKUP(Таблица4383232[[#This Row],[Столбец7]],Лист1!$A$4:$F$72,3,FALSE),"")</f>
        <v/>
      </c>
      <c r="AB23" s="86" t="str">
        <f>IFERROR(VLOOKUP(Таблица4383232[[#This Row],[Столбец8]],Лист1!$A$4:$F$72,3,FALSE),"")</f>
        <v/>
      </c>
      <c r="AC23" s="86" t="str">
        <f>IFERROR(VLOOKUP(Таблица4383232[[#This Row],[Столбец9]],Лист1!$A$4:$F$72,3,FALSE),"")</f>
        <v/>
      </c>
      <c r="AD23" s="57">
        <f t="shared" si="0"/>
        <v>0</v>
      </c>
      <c r="AE23" s="87">
        <f t="shared" si="1"/>
        <v>0</v>
      </c>
      <c r="AF23" s="88">
        <f t="shared" si="16"/>
        <v>0</v>
      </c>
      <c r="AG23" s="88">
        <f t="shared" si="17"/>
        <v>0</v>
      </c>
      <c r="AH23" s="88">
        <f t="shared" si="18"/>
        <v>0</v>
      </c>
      <c r="AI23" s="89">
        <f t="shared" si="19"/>
        <v>0</v>
      </c>
      <c r="AJ23" s="89" t="str">
        <f>IF(Таблица4383232[[#This Row],[Столбец42]]=0,"000",Таблица4383232[[#This Row],[Столбец42]])</f>
        <v>000</v>
      </c>
      <c r="AK23" s="89" t="str">
        <f>IF(Таблица4383232[[#This Row],[Столбец44]]=0,"000",Таблица4383232[[#This Row],[Столбец44]])</f>
        <v>000</v>
      </c>
      <c r="AL23" s="58"/>
      <c r="AM23" s="90" t="str">
        <f t="shared" si="20"/>
        <v>км 0+000 - км 0+000</v>
      </c>
      <c r="AN23" s="91" t="str">
        <f>IF(ISBLANK(Таблица4383232[[#This Row],[Столбец9]]),N23&amp;O23&amp;P23&amp;Q23&amp;R23&amp;S23&amp;T23&amp;U23,N23&amp;O23&amp;P23&amp;Q23&amp;R23&amp;S23&amp;T23&amp;U23&amp;";")</f>
        <v/>
      </c>
      <c r="AO23" s="92" t="e">
        <f>UPPER(LEFT(Таблица4383232[[#This Row],[Столбец48]],1))&amp;RIGHT(LOWER(Таблица4383232[[#This Row],[Столбец48]]),LEN(Таблица4383232[[#This Row],[Столбец48]])-1)</f>
        <v>#VALUE!</v>
      </c>
      <c r="AP23" s="59">
        <f>MIN(V23:AC23)</f>
        <v>0</v>
      </c>
      <c r="AQ23" s="93">
        <f>AP23*C23</f>
        <v>0</v>
      </c>
      <c r="AR23" s="51"/>
      <c r="AS23" s="94">
        <f t="shared" si="23"/>
        <v>0</v>
      </c>
      <c r="AT23" s="95">
        <f t="shared" si="23"/>
        <v>0</v>
      </c>
      <c r="AU23" s="96">
        <f t="shared" si="8"/>
        <v>0</v>
      </c>
      <c r="AV23" s="97">
        <f t="shared" si="9"/>
        <v>0</v>
      </c>
      <c r="AW23" s="97" t="str">
        <f t="shared" si="10"/>
        <v>-</v>
      </c>
      <c r="AX23" s="60"/>
      <c r="AY23" s="44" t="str">
        <f>Таблица4383232[[#This Row],[Адрес дефекта, км +]]</f>
        <v>км 0+000 - км 0+000</v>
      </c>
      <c r="AZ23" s="45" t="str">
        <f>Таблица4383232[[#This Row],[Столбец55]]</f>
        <v>-</v>
      </c>
      <c r="BA23" s="43">
        <f>Таблица4383232[[#This Row],[Столбец59]]</f>
        <v>0.5</v>
      </c>
      <c r="BB23" s="123"/>
      <c r="BC23" s="60"/>
      <c r="BD23" s="98" t="str">
        <f>Таблица4383232[[#This Row],[Адрес дефекта, км +]]</f>
        <v>км 0+000 - км 0+000</v>
      </c>
      <c r="BE23" s="99">
        <f>ROUND(1-((5-Таблица4383232[[#This Row],[Балл минимальный]])/10),2)</f>
        <v>0.5</v>
      </c>
      <c r="BF23" s="100" t="e">
        <f t="shared" ca="1" si="22"/>
        <v>#N/A</v>
      </c>
    </row>
    <row r="24" spans="1:58" ht="16.5" x14ac:dyDescent="0.25">
      <c r="A24" s="81"/>
      <c r="B24" s="81"/>
      <c r="C24" s="82">
        <f>B24-A24</f>
        <v>0</v>
      </c>
      <c r="D24" s="64"/>
      <c r="E24" s="65"/>
      <c r="F24" s="65"/>
      <c r="G24" s="61"/>
      <c r="H24" s="61"/>
      <c r="I24" s="61"/>
      <c r="J24" s="61"/>
      <c r="K24" s="61"/>
      <c r="L24" s="61"/>
      <c r="M24" s="134"/>
      <c r="N24" s="83" t="str">
        <f>IFERROR(VLOOKUP(Таблица4383232[[#This Row],[Деф 1]],Лист1!$A$4:$F$72,2,FALSE),"")</f>
        <v/>
      </c>
      <c r="O24" s="83" t="str">
        <f>IFERROR(VLOOKUP(Таблица4383232[[#This Row],[Деф 2]],Лист1!$A$4:$F$72,2,FALSE),"")</f>
        <v/>
      </c>
      <c r="P24" s="84" t="str">
        <f>IFERROR(VLOOKUP(Таблица4383232[[#This Row],[Столбец4]],Лист1!$A$4:$F$72,2,FALSE),"")</f>
        <v/>
      </c>
      <c r="Q24" s="84" t="str">
        <f>IFERROR(VLOOKUP(Таблица4383232[[#This Row],[Столбец5]],Лист1!$A$4:$F$72,2,FALSE),"")</f>
        <v/>
      </c>
      <c r="R24" s="84" t="str">
        <f>IFERROR(VLOOKUP(Таблица4383232[[#This Row],[Столбец6]],Лист1!$A$4:$F$72,2,FALSE),"")</f>
        <v/>
      </c>
      <c r="S24" s="84" t="str">
        <f>IFERROR(VLOOKUP(Таблица4383232[[#This Row],[Столбец7]],Лист1!$A$4:$F$72,2,FALSE),"")</f>
        <v/>
      </c>
      <c r="T24" s="84" t="str">
        <f>IFERROR(VLOOKUP(Таблица4383232[[#This Row],[Столбец8]],Лист1!$A$4:$F$72,2,FALSE),"")</f>
        <v/>
      </c>
      <c r="U24" s="84" t="str">
        <f>IF(ISBLANK(Таблица4383232[[#This Row],[Столбец9]]),"",Таблица4383232[[#This Row],[Столбец9]])</f>
        <v/>
      </c>
      <c r="V24" s="85" t="str">
        <f>IFERROR(VLOOKUP(Таблица4383232[[#This Row],[Деф 1]],Лист1!$A$4:$F$72,3,FALSE),"")</f>
        <v/>
      </c>
      <c r="W24" s="86" t="str">
        <f>IFERROR(VLOOKUP(Таблица4383232[[#This Row],[Деф 2]],Лист1!$A$4:$F$72,3,FALSE),"")</f>
        <v/>
      </c>
      <c r="X24" s="86" t="str">
        <f>IFERROR(VLOOKUP(Таблица4383232[[#This Row],[Столбец4]],Лист1!$A$4:$F$72,3,FALSE),"")</f>
        <v/>
      </c>
      <c r="Y24" s="86" t="str">
        <f>IFERROR(VLOOKUP(Таблица4383232[[#This Row],[Столбец5]],Лист1!$A$4:$F$72,3,FALSE),"")</f>
        <v/>
      </c>
      <c r="Z24" s="86" t="str">
        <f>IFERROR(VLOOKUP(Таблица4383232[[#This Row],[Столбец6]],Лист1!$A$4:$F$72,3,FALSE),"")</f>
        <v/>
      </c>
      <c r="AA24" s="86" t="str">
        <f>IFERROR(VLOOKUP(Таблица4383232[[#This Row],[Столбец7]],Лист1!$A$4:$F$72,3,FALSE),"")</f>
        <v/>
      </c>
      <c r="AB24" s="86" t="str">
        <f>IFERROR(VLOOKUP(Таблица4383232[[#This Row],[Столбец8]],Лист1!$A$4:$F$72,3,FALSE),"")</f>
        <v/>
      </c>
      <c r="AC24" s="86" t="str">
        <f>IFERROR(VLOOKUP(Таблица4383232[[#This Row],[Столбец9]],Лист1!$A$4:$F$72,3,FALSE),"")</f>
        <v/>
      </c>
      <c r="AD24" s="57">
        <f t="shared" si="0"/>
        <v>0</v>
      </c>
      <c r="AE24" s="87">
        <f t="shared" si="1"/>
        <v>0</v>
      </c>
      <c r="AF24" s="88">
        <f t="shared" si="16"/>
        <v>0</v>
      </c>
      <c r="AG24" s="88">
        <f t="shared" si="17"/>
        <v>0</v>
      </c>
      <c r="AH24" s="88">
        <f t="shared" si="18"/>
        <v>0</v>
      </c>
      <c r="AI24" s="89">
        <f t="shared" si="19"/>
        <v>0</v>
      </c>
      <c r="AJ24" s="89" t="str">
        <f>IF(Таблица4383232[[#This Row],[Столбец42]]=0,"000",Таблица4383232[[#This Row],[Столбец42]])</f>
        <v>000</v>
      </c>
      <c r="AK24" s="89" t="str">
        <f>IF(Таблица4383232[[#This Row],[Столбец44]]=0,"000",Таблица4383232[[#This Row],[Столбец44]])</f>
        <v>000</v>
      </c>
      <c r="AL24" s="58"/>
      <c r="AM24" s="90" t="str">
        <f t="shared" si="20"/>
        <v>км 0+000 - км 0+000</v>
      </c>
      <c r="AN24" s="91" t="str">
        <f>IF(ISBLANK(Таблица4383232[[#This Row],[Столбец9]]),N24&amp;O24&amp;P24&amp;Q24&amp;R24&amp;S24&amp;T24&amp;U24,N24&amp;O24&amp;P24&amp;Q24&amp;R24&amp;S24&amp;T24&amp;U24&amp;";")</f>
        <v/>
      </c>
      <c r="AO24" s="92" t="e">
        <f>UPPER(LEFT(Таблица4383232[[#This Row],[Столбец48]],1))&amp;RIGHT(LOWER(Таблица4383232[[#This Row],[Столбец48]]),LEN(Таблица4383232[[#This Row],[Столбец48]])-1)</f>
        <v>#VALUE!</v>
      </c>
      <c r="AP24" s="59">
        <f>MIN(V24:AC24)</f>
        <v>0</v>
      </c>
      <c r="AQ24" s="93">
        <f>AP24*C24</f>
        <v>0</v>
      </c>
      <c r="AR24" s="51"/>
      <c r="AS24" s="94">
        <f t="shared" si="23"/>
        <v>0</v>
      </c>
      <c r="AT24" s="95">
        <f t="shared" si="23"/>
        <v>0</v>
      </c>
      <c r="AU24" s="96">
        <f t="shared" si="8"/>
        <v>0</v>
      </c>
      <c r="AV24" s="97">
        <f t="shared" si="9"/>
        <v>0</v>
      </c>
      <c r="AW24" s="97" t="str">
        <f t="shared" si="10"/>
        <v>-</v>
      </c>
      <c r="AX24" s="60"/>
      <c r="AY24" s="44" t="str">
        <f>Таблица4383232[[#This Row],[Адрес дефекта, км +]]</f>
        <v>км 0+000 - км 0+000</v>
      </c>
      <c r="AZ24" s="45" t="str">
        <f>Таблица4383232[[#This Row],[Столбец55]]</f>
        <v>-</v>
      </c>
      <c r="BA24" s="43">
        <f>Таблица4383232[[#This Row],[Столбец59]]</f>
        <v>0.5</v>
      </c>
      <c r="BB24" s="123"/>
      <c r="BC24" s="60"/>
      <c r="BD24" s="98" t="str">
        <f>Таблица4383232[[#This Row],[Адрес дефекта, км +]]</f>
        <v>км 0+000 - км 0+000</v>
      </c>
      <c r="BE24" s="99">
        <f>ROUND(1-((5-Таблица4383232[[#This Row],[Балл минимальный]])/10),2)</f>
        <v>0.5</v>
      </c>
      <c r="BF24" s="100" t="e">
        <f t="shared" ca="1" si="22"/>
        <v>#N/A</v>
      </c>
    </row>
    <row r="25" spans="1:58" ht="16.5" x14ac:dyDescent="0.25">
      <c r="A25" s="81"/>
      <c r="B25" s="81"/>
      <c r="C25" s="82">
        <f>B25-A25</f>
        <v>0</v>
      </c>
      <c r="D25" s="64"/>
      <c r="E25" s="65"/>
      <c r="F25" s="65"/>
      <c r="G25" s="61"/>
      <c r="H25" s="61"/>
      <c r="I25" s="61"/>
      <c r="J25" s="61"/>
      <c r="K25" s="61"/>
      <c r="L25" s="61"/>
      <c r="M25" s="134"/>
      <c r="N25" s="83" t="str">
        <f>IFERROR(VLOOKUP(Таблица4383232[[#This Row],[Деф 1]],Лист1!$A$4:$F$72,2,FALSE),"")</f>
        <v/>
      </c>
      <c r="O25" s="83" t="str">
        <f>IFERROR(VLOOKUP(Таблица4383232[[#This Row],[Деф 2]],Лист1!$A$4:$F$72,2,FALSE),"")</f>
        <v/>
      </c>
      <c r="P25" s="84" t="str">
        <f>IFERROR(VLOOKUP(Таблица4383232[[#This Row],[Столбец4]],Лист1!$A$4:$F$72,2,FALSE),"")</f>
        <v/>
      </c>
      <c r="Q25" s="84" t="str">
        <f>IFERROR(VLOOKUP(Таблица4383232[[#This Row],[Столбец5]],Лист1!$A$4:$F$72,2,FALSE),"")</f>
        <v/>
      </c>
      <c r="R25" s="84" t="str">
        <f>IFERROR(VLOOKUP(Таблица4383232[[#This Row],[Столбец6]],Лист1!$A$4:$F$72,2,FALSE),"")</f>
        <v/>
      </c>
      <c r="S25" s="84" t="str">
        <f>IFERROR(VLOOKUP(Таблица4383232[[#This Row],[Столбец7]],Лист1!$A$4:$F$72,2,FALSE),"")</f>
        <v/>
      </c>
      <c r="T25" s="84" t="str">
        <f>IFERROR(VLOOKUP(Таблица4383232[[#This Row],[Столбец8]],Лист1!$A$4:$F$72,2,FALSE),"")</f>
        <v/>
      </c>
      <c r="U25" s="84" t="str">
        <f>IF(ISBLANK(Таблица4383232[[#This Row],[Столбец9]]),"",Таблица4383232[[#This Row],[Столбец9]])</f>
        <v/>
      </c>
      <c r="V25" s="85" t="str">
        <f>IFERROR(VLOOKUP(Таблица4383232[[#This Row],[Деф 1]],Лист1!$A$4:$F$72,3,FALSE),"")</f>
        <v/>
      </c>
      <c r="W25" s="86" t="str">
        <f>IFERROR(VLOOKUP(Таблица4383232[[#This Row],[Деф 2]],Лист1!$A$4:$F$72,3,FALSE),"")</f>
        <v/>
      </c>
      <c r="X25" s="86" t="str">
        <f>IFERROR(VLOOKUP(Таблица4383232[[#This Row],[Столбец4]],Лист1!$A$4:$F$72,3,FALSE),"")</f>
        <v/>
      </c>
      <c r="Y25" s="86" t="str">
        <f>IFERROR(VLOOKUP(Таблица4383232[[#This Row],[Столбец5]],Лист1!$A$4:$F$72,3,FALSE),"")</f>
        <v/>
      </c>
      <c r="Z25" s="86" t="str">
        <f>IFERROR(VLOOKUP(Таблица4383232[[#This Row],[Столбец6]],Лист1!$A$4:$F$72,3,FALSE),"")</f>
        <v/>
      </c>
      <c r="AA25" s="86" t="str">
        <f>IFERROR(VLOOKUP(Таблица4383232[[#This Row],[Столбец7]],Лист1!$A$4:$F$72,3,FALSE),"")</f>
        <v/>
      </c>
      <c r="AB25" s="86" t="str">
        <f>IFERROR(VLOOKUP(Таблица4383232[[#This Row],[Столбец8]],Лист1!$A$4:$F$72,3,FALSE),"")</f>
        <v/>
      </c>
      <c r="AC25" s="86" t="str">
        <f>IFERROR(VLOOKUP(Таблица4383232[[#This Row],[Столбец9]],Лист1!$A$4:$F$72,3,FALSE),"")</f>
        <v/>
      </c>
      <c r="AD25" s="57">
        <f t="shared" si="0"/>
        <v>0</v>
      </c>
      <c r="AE25" s="87">
        <f t="shared" si="1"/>
        <v>0</v>
      </c>
      <c r="AF25" s="88">
        <f t="shared" si="16"/>
        <v>0</v>
      </c>
      <c r="AG25" s="88">
        <f t="shared" si="17"/>
        <v>0</v>
      </c>
      <c r="AH25" s="88">
        <f t="shared" si="18"/>
        <v>0</v>
      </c>
      <c r="AI25" s="89">
        <f t="shared" si="19"/>
        <v>0</v>
      </c>
      <c r="AJ25" s="89" t="str">
        <f>IF(Таблица4383232[[#This Row],[Столбец42]]=0,"000",Таблица4383232[[#This Row],[Столбец42]])</f>
        <v>000</v>
      </c>
      <c r="AK25" s="89" t="str">
        <f>IF(Таблица4383232[[#This Row],[Столбец44]]=0,"000",Таблица4383232[[#This Row],[Столбец44]])</f>
        <v>000</v>
      </c>
      <c r="AL25" s="58"/>
      <c r="AM25" s="90" t="str">
        <f t="shared" si="20"/>
        <v>км 0+000 - км 0+000</v>
      </c>
      <c r="AN25" s="91" t="str">
        <f>IF(ISBLANK(Таблица4383232[[#This Row],[Столбец9]]),N25&amp;O25&amp;P25&amp;Q25&amp;R25&amp;S25&amp;T25&amp;U25,N25&amp;O25&amp;P25&amp;Q25&amp;R25&amp;S25&amp;T25&amp;U25&amp;";")</f>
        <v/>
      </c>
      <c r="AO25" s="92" t="e">
        <f>UPPER(LEFT(Таблица4383232[[#This Row],[Столбец48]],1))&amp;RIGHT(LOWER(Таблица4383232[[#This Row],[Столбец48]]),LEN(Таблица4383232[[#This Row],[Столбец48]])-1)</f>
        <v>#VALUE!</v>
      </c>
      <c r="AP25" s="59">
        <f>MIN(V25:AC25)</f>
        <v>0</v>
      </c>
      <c r="AQ25" s="93">
        <f>AP25*C25</f>
        <v>0</v>
      </c>
      <c r="AR25" s="51"/>
      <c r="AS25" s="94">
        <f t="shared" si="23"/>
        <v>0</v>
      </c>
      <c r="AT25" s="95">
        <f t="shared" si="23"/>
        <v>0</v>
      </c>
      <c r="AU25" s="96">
        <f t="shared" si="8"/>
        <v>0</v>
      </c>
      <c r="AV25" s="97">
        <f t="shared" si="9"/>
        <v>0</v>
      </c>
      <c r="AW25" s="97" t="str">
        <f t="shared" si="10"/>
        <v>-</v>
      </c>
      <c r="AX25" s="60"/>
      <c r="AY25" s="44" t="str">
        <f>Таблица4383232[[#This Row],[Адрес дефекта, км +]]</f>
        <v>км 0+000 - км 0+000</v>
      </c>
      <c r="AZ25" s="45" t="str">
        <f>Таблица4383232[[#This Row],[Столбец55]]</f>
        <v>-</v>
      </c>
      <c r="BA25" s="43">
        <f>Таблица4383232[[#This Row],[Столбец59]]</f>
        <v>0.5</v>
      </c>
      <c r="BB25" s="123"/>
      <c r="BC25" s="60"/>
      <c r="BD25" s="98" t="str">
        <f>Таблица4383232[[#This Row],[Адрес дефекта, км +]]</f>
        <v>км 0+000 - км 0+000</v>
      </c>
      <c r="BE25" s="99">
        <f>ROUND(1-((5-Таблица4383232[[#This Row],[Балл минимальный]])/10),2)</f>
        <v>0.5</v>
      </c>
      <c r="BF25" s="100" t="e">
        <f t="shared" ca="1" si="22"/>
        <v>#N/A</v>
      </c>
    </row>
  </sheetData>
  <dataConsolidate/>
  <mergeCells count="16">
    <mergeCell ref="D6:E6"/>
    <mergeCell ref="AM6:AO7"/>
    <mergeCell ref="D7:E7"/>
    <mergeCell ref="AM2:AO4"/>
    <mergeCell ref="C4:D4"/>
    <mergeCell ref="G4:J4"/>
    <mergeCell ref="K4:L4"/>
    <mergeCell ref="C5:D5"/>
    <mergeCell ref="C2:D2"/>
    <mergeCell ref="G2:J2"/>
    <mergeCell ref="K2:L2"/>
    <mergeCell ref="C3:D3"/>
    <mergeCell ref="G3:J3"/>
    <mergeCell ref="K3:L3"/>
    <mergeCell ref="G5:J5"/>
    <mergeCell ref="K5:L5"/>
  </mergeCells>
  <dataValidations count="2">
    <dataValidation type="list" allowBlank="1" showInputMessage="1" showErrorMessage="1" sqref="E2">
      <formula1>"капитальная,облегченная"</formula1>
    </dataValidation>
    <dataValidation type="list" allowBlank="1" showInputMessage="1" showErrorMessage="1" sqref="B3">
      <formula1>"дорога,улица,подъезд"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ИД</vt:lpstr>
      <vt:lpstr>В обсл</vt:lpstr>
      <vt:lpstr>аб1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Наташенька</dc:creator>
  <cp:lastModifiedBy>Алексей Кривошапкин</cp:lastModifiedBy>
  <dcterms:created xsi:type="dcterms:W3CDTF">2016-06-06T18:18:21Z</dcterms:created>
  <dcterms:modified xsi:type="dcterms:W3CDTF">2026-03-18T11:58:49Z</dcterms:modified>
</cp:coreProperties>
</file>