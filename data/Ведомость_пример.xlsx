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krivoshapkin.ai\Desktop\Разработка программ\Ведомость дорог\data\"/>
    </mc:Choice>
  </mc:AlternateContent>
  <bookViews>
    <workbookView xWindow="0" yWindow="0" windowWidth="28800" windowHeight="12300" tabRatio="821"/>
  </bookViews>
  <sheets>
    <sheet name="ИД" sheetId="281" r:id="rId1"/>
  </sheets>
  <definedNames>
    <definedName name="_Hlk26540438" localSheetId="0">ИД!#REF!</definedName>
    <definedName name="_xlnm._FilterDatabase" localSheetId="0" hidden="1">ИД!$A$1:$P$107</definedName>
  </definedNames>
  <calcPr calcId="162913"/>
</workbook>
</file>

<file path=xl/calcChain.xml><?xml version="1.0" encoding="utf-8"?>
<calcChain xmlns="http://schemas.openxmlformats.org/spreadsheetml/2006/main">
  <c r="H117" i="281" l="1"/>
  <c r="P129" i="281" l="1"/>
  <c r="P128" i="281"/>
  <c r="Z1" i="281"/>
</calcChain>
</file>

<file path=xl/sharedStrings.xml><?xml version="1.0" encoding="utf-8"?>
<sst xmlns="http://schemas.openxmlformats.org/spreadsheetml/2006/main" count="1681" uniqueCount="908">
  <si>
    <t>-</t>
  </si>
  <si>
    <t>Ширина</t>
  </si>
  <si>
    <t>Покрытие</t>
  </si>
  <si>
    <t>Категория</t>
  </si>
  <si>
    <t>III</t>
  </si>
  <si>
    <t>IV</t>
  </si>
  <si>
    <t>грунт</t>
  </si>
  <si>
    <t>Протяженность</t>
  </si>
  <si>
    <t>V</t>
  </si>
  <si>
    <t>ПГС</t>
  </si>
  <si>
    <t>плиты</t>
  </si>
  <si>
    <t>от</t>
  </si>
  <si>
    <t>до</t>
  </si>
  <si>
    <t>№</t>
  </si>
  <si>
    <t>Наименование</t>
  </si>
  <si>
    <t>Фото</t>
  </si>
  <si>
    <t>Принадлежность</t>
  </si>
  <si>
    <t>Используемый участок</t>
  </si>
  <si>
    <t>Осевая нагрузка</t>
  </si>
  <si>
    <t>частная</t>
  </si>
  <si>
    <t>региональная</t>
  </si>
  <si>
    <t>местная</t>
  </si>
  <si>
    <t>Широта начало</t>
  </si>
  <si>
    <t>Долгота начало</t>
  </si>
  <si>
    <t>Широта конец</t>
  </si>
  <si>
    <t>Долгота конец</t>
  </si>
  <si>
    <t>Наличие маршрута в книге</t>
  </si>
  <si>
    <t>маршрут есть</t>
  </si>
  <si>
    <t>ведомственная</t>
  </si>
  <si>
    <t>б.к.</t>
  </si>
  <si>
    <t>РК</t>
  </si>
  <si>
    <t>ГКУ РК «УправтодорКоми»</t>
  </si>
  <si>
    <t>федеральной автомобильной дороги «»</t>
  </si>
  <si>
    <t>региональной автомобильной дороги «»</t>
  </si>
  <si>
    <t>местной автомобильной дороги «»</t>
  </si>
  <si>
    <t>частной автомобильной дороги «»</t>
  </si>
  <si>
    <t>региональной автомобильной дороги «Сыктывкар – Ухта – Печора – Усинск - Нарьян-Мар (на участке Ухта - Сосногорск)»</t>
  </si>
  <si>
    <t>региональной автомобильной дороги «Сыктывкар - Ухта - Печора - Усинск - Нарьян-Мар на участке Сыктывкар – Ухта»</t>
  </si>
  <si>
    <t>Ухта - Сосногорск от автомобильной дороги Ухта - Троицко-Печорск
км 0+026 – км 5+325</t>
  </si>
  <si>
    <t>местной автомобильной дороги «г.Ухта-«Дальний»</t>
  </si>
  <si>
    <t>региональной автомобильной дороги «Сыктывкар - Ухта - Печора - Усинск - Нарьян-Мар на участке Ухта – Сосногорск»</t>
  </si>
  <si>
    <t>Ухта - Усть Ухта
км 0+037 – км 2+947</t>
  </si>
  <si>
    <t>региональной автомобильной дороги «Ухта - Усть Ухта»</t>
  </si>
  <si>
    <t>Сыктывкар - Ухта - Печора - Усинск - Нарьян-Мар на участке Сыктывкар - Ухта
км 315+878 – км 317+709</t>
  </si>
  <si>
    <t>местной автомобильной дороги «Шудаяг - Заболотный»</t>
  </si>
  <si>
    <t>Сыктывкар - Ухта - Печора - Усинск - Нарьян-Мар на участке Сыктывкар - Ухта
км 246+700 – км 315+878</t>
  </si>
  <si>
    <t>частной автомобильной дороги «Подъезд к карьеру «Чинья-Ворык»</t>
  </si>
  <si>
    <t>полигона ТБО</t>
  </si>
  <si>
    <t>пункта приема стоков</t>
  </si>
  <si>
    <t>Въезд на автомобильную дорогу г.Ухта-"Дальний" от ад "Подъезд к "Дежнево"</t>
  </si>
  <si>
    <t>ул. Уральская, г. Ухта</t>
  </si>
  <si>
    <t>Проезд от ул. Уральская до ул. Тихановича 4, г. Ухта</t>
  </si>
  <si>
    <t xml:space="preserve">ул. Станционная, г. Ухта </t>
  </si>
  <si>
    <t>Подъезд к "УРМЗ", г. Ухта</t>
  </si>
  <si>
    <t>Съезд с автодороги г.Ухта-"Дальний" к жд станции Ухта</t>
  </si>
  <si>
    <t>Подъезд к "Дежнево"</t>
  </si>
  <si>
    <t>Подъезд к железнодорожной станции в г. Ухте</t>
  </si>
  <si>
    <t>Подъезд к площадке МУП «Ухтаводоканал»</t>
  </si>
  <si>
    <t>Подъезд к промышленной зоне N 3</t>
  </si>
  <si>
    <t>Проезд вдоль территории карьера «Бельгоп 1» (от ул. Промышленная до региональной автомобильной дороги «Сыктывкар - Ухта - Печора - Усинск - Нарьян-Мар на участке Ухта-Сосногорск»)</t>
  </si>
  <si>
    <t>2-я Индустриальная ул.</t>
  </si>
  <si>
    <t>Шудаяг - Заболотный</t>
  </si>
  <si>
    <t>частной автомобильной дороги «Подъезд к карьеру "Строительное-7"»</t>
  </si>
  <si>
    <t>ул. Промышленная в пст. Чиньяворык</t>
  </si>
  <si>
    <t>г.Ухта-«Дальний»</t>
  </si>
  <si>
    <t>II; IV</t>
  </si>
  <si>
    <t>МО «Ухта» Республики Коми</t>
  </si>
  <si>
    <t>региональной автомобильной дороги «Ухта - Сосногорск от автомобильной дороги Ухта - Троицко-Печорск»</t>
  </si>
  <si>
    <t>местной автомобильной дороги «Съезд с автодороги г.Ухта-"Дальний" к жд станции Ухта»</t>
  </si>
  <si>
    <t>местной автомобильной дороги «Проезд от ул. Уральская до ул. Тихановича 4, г. Ухта»</t>
  </si>
  <si>
    <t>местной автомобильной дороги «ул. Уральская, г. Ухта»</t>
  </si>
  <si>
    <t>базы ООО "СПС"</t>
  </si>
  <si>
    <t>базы Инвест Альянс</t>
  </si>
  <si>
    <t>местной автомобильной дороги «Подъезд к «Дежнево»</t>
  </si>
  <si>
    <t>Подъезд к промышленной зоне N 1, г. Ухта</t>
  </si>
  <si>
    <t>местной автомобильной дороги «Подъезд к "УРМЗ", г. Ухта»</t>
  </si>
  <si>
    <t>пункта приема металлолома</t>
  </si>
  <si>
    <t>местной автомобильной дороги «Подъезд к промышленной зоне N 1, г. Ухта»</t>
  </si>
  <si>
    <t>местной автомобильной дороги «Подъезд к железнодорожной станции в г. Ухте»</t>
  </si>
  <si>
    <t>местной автомобильной дороги «ул. Промышленная»</t>
  </si>
  <si>
    <t>местной автомобильной дороги «Подъезд к "Дежнево"»</t>
  </si>
  <si>
    <t>базе АО "РЖД Логистика"</t>
  </si>
  <si>
    <t>пункта приема вторсырья</t>
  </si>
  <si>
    <t>Подъезд к карьеру Бельгоп-1</t>
  </si>
  <si>
    <t>частной автомобильной дороги «Подъезд к карьеру Бельгоп-1»</t>
  </si>
  <si>
    <t>6,0-8,0</t>
  </si>
  <si>
    <t>ул. Промышленная, г. Ухта</t>
  </si>
  <si>
    <t>местной автомобильной дороги «ул. Промышленная, г. Ухта»</t>
  </si>
  <si>
    <t>региональной автомобильной дороги «Сыктывкар - Ухта - Печора - Усинск - Нарьян-Мар на участке Сыктывкар - Ухта»</t>
  </si>
  <si>
    <t>частной автодороги «Подъезд к карьеру «Чинья-Ворык»</t>
  </si>
  <si>
    <t>Подъезд к полигону ТКО, г. Ухта</t>
  </si>
  <si>
    <t>Подъезд к полигону строительного мусора, г. Ухта</t>
  </si>
  <si>
    <t>Подъезд к карьеру "Строительное-7", г. Ухта</t>
  </si>
  <si>
    <t>Подъезд к карьеру «Чинья-Ворык», часть 1</t>
  </si>
  <si>
    <t>Подъезд к карьеру «Чинья-Ворык», часть 2</t>
  </si>
  <si>
    <t xml:space="preserve">МКП «Ухтаспецавтодор» </t>
  </si>
  <si>
    <t>региональной автомобильной дороги «Ухта - Усть-Ухта»</t>
  </si>
  <si>
    <t>полигона ТКО</t>
  </si>
  <si>
    <t>полигона строительного мусора</t>
  </si>
  <si>
    <t xml:space="preserve">ООО «УЗСМ» </t>
  </si>
  <si>
    <t>местной автомобильной дороги «Промышленная ул.»</t>
  </si>
  <si>
    <t>карьера «Бельгоп-1»</t>
  </si>
  <si>
    <t xml:space="preserve">ООО «Экоресурс» </t>
  </si>
  <si>
    <t>карьера «Строительное-7»</t>
  </si>
  <si>
    <t xml:space="preserve">ООО «Автодор» </t>
  </si>
  <si>
    <t>местной автомобильной дороги «ул. Промышленная в пст. Чиньяворык»</t>
  </si>
  <si>
    <t>карьера «Чинья-Ворык»</t>
  </si>
  <si>
    <t>Подъездная автодорога к КС (участок автодороги п. Усть-Ухта - п. Четлас) КС «Ухтинская»</t>
  </si>
  <si>
    <t>Проезд вдоль МГ "Бованенко-Ухта" (от КС "Сосногорская" до КС-10 "Ухта")</t>
  </si>
  <si>
    <t>Подъезд к карьеру "Пожня-Ель"</t>
  </si>
  <si>
    <t>региональной автомобильной дороги «Сыктывкар - Ухта - Печора - Усинск - Нарьян-Мар на участке Ухта - Сосногорск»</t>
  </si>
  <si>
    <t>карьера «Пожня-Ель»</t>
  </si>
  <si>
    <t>IV-в</t>
  </si>
  <si>
    <t>ведомственной автомобильной дороги «»</t>
  </si>
  <si>
    <t>ведомственной автомобильной дороги «Проезд вдоль МГ "Бованенко-Ухта" (от КС "Сосногорская" до КС-10 "Ухта")»</t>
  </si>
  <si>
    <t>ведомственной автомобильной дороги «Подъездная автодорога к КС (участок автодороги п. Усть-Ухта - п. Четлас) КС «Ухтинская»</t>
  </si>
  <si>
    <t>N63°34'49.0988"</t>
  </si>
  <si>
    <t>E53°40'16.0469"</t>
  </si>
  <si>
    <t>N63°34'04.2007"</t>
  </si>
  <si>
    <t>E53°59'59.7122"</t>
  </si>
  <si>
    <t>N63°32'33.0616"</t>
  </si>
  <si>
    <t>E53°49'55.9709"</t>
  </si>
  <si>
    <t>N63°33'30.1769"</t>
  </si>
  <si>
    <t>E53°55'54.3999"</t>
  </si>
  <si>
    <t>N63°37'54.8206"</t>
  </si>
  <si>
    <t>E53°45'13.4389"</t>
  </si>
  <si>
    <t>N63°38'08.6117"</t>
  </si>
  <si>
    <t>E53°46'21.5713"</t>
  </si>
  <si>
    <t>N63°34'49.0958"</t>
  </si>
  <si>
    <t>E53°40'16.0643"</t>
  </si>
  <si>
    <t>N63°34'27.0274"</t>
  </si>
  <si>
    <t>E53°38'27.8404"</t>
  </si>
  <si>
    <t>N63°34'16.4040"</t>
  </si>
  <si>
    <t>E53°38'03.6619"</t>
  </si>
  <si>
    <t>N63°12'03.8807"</t>
  </si>
  <si>
    <t>E52°39'39.0339"</t>
  </si>
  <si>
    <t>N63°32'33.4572"</t>
  </si>
  <si>
    <t>E53°49'54.4924"</t>
  </si>
  <si>
    <t>N63°33'13.7507"</t>
  </si>
  <si>
    <t>E53°43'35.8246"</t>
  </si>
  <si>
    <t>N63°32'52.3262"</t>
  </si>
  <si>
    <t>E53°49'04.1403"</t>
  </si>
  <si>
    <t>N63°33'06.7946"</t>
  </si>
  <si>
    <t>E53°49'01.4367"</t>
  </si>
  <si>
    <t>N63°33'05.7968"</t>
  </si>
  <si>
    <t>E53°48'49.3088"</t>
  </si>
  <si>
    <t>N63°32'59.9796"</t>
  </si>
  <si>
    <t>E53°44'17.6643"</t>
  </si>
  <si>
    <t>N63°32'47.5922"</t>
  </si>
  <si>
    <t>E53°43'49.5461"</t>
  </si>
  <si>
    <t>N63°33'12.3123"</t>
  </si>
  <si>
    <t>E53°43'26.8148"</t>
  </si>
  <si>
    <t>N63°33'13.2627"</t>
  </si>
  <si>
    <t>E53°43'34.9644"</t>
  </si>
  <si>
    <t>N63°33'19.8865"</t>
  </si>
  <si>
    <t>E53°43'00.4986"</t>
  </si>
  <si>
    <t>N63°33'12.5245"</t>
  </si>
  <si>
    <t>E53°43'24.7158"</t>
  </si>
  <si>
    <t>N63°33'05.9281"</t>
  </si>
  <si>
    <t>E53°43'05.9925"</t>
  </si>
  <si>
    <t>N63°33'19.7753"</t>
  </si>
  <si>
    <t>E53°43'00.5851"</t>
  </si>
  <si>
    <t>N63°33'13.9615"</t>
  </si>
  <si>
    <t>E53°43'35.8873"</t>
  </si>
  <si>
    <t>N63°33'22.7166"</t>
  </si>
  <si>
    <t>E53°43'48.2855"</t>
  </si>
  <si>
    <t>N63°33'12.5165"</t>
  </si>
  <si>
    <t>E53°43'25.1113"</t>
  </si>
  <si>
    <t>N63°34'27.0411"</t>
  </si>
  <si>
    <t>E53°46'01.1128"</t>
  </si>
  <si>
    <t>N63°33'23.2230"</t>
  </si>
  <si>
    <t>E53°43'47.7142"</t>
  </si>
  <si>
    <t>N63°33'21.7180"</t>
  </si>
  <si>
    <t>E53°43'51.9242"</t>
  </si>
  <si>
    <t>N63°33'23.7555"</t>
  </si>
  <si>
    <t>E53°43'46.9414"</t>
  </si>
  <si>
    <t>N63°33'32.9569"</t>
  </si>
  <si>
    <t>E53°43'54.5889"</t>
  </si>
  <si>
    <t>N63°33'40.1907"</t>
  </si>
  <si>
    <t>E53°44'34.1655"</t>
  </si>
  <si>
    <t>N63°33'39.7091"</t>
  </si>
  <si>
    <t>E53°44'07.3992"</t>
  </si>
  <si>
    <t>N63°34'27.2479"</t>
  </si>
  <si>
    <t>E53°46'00.7215"</t>
  </si>
  <si>
    <t>N63°35'47.8157"</t>
  </si>
  <si>
    <t>E53°46'02.3051"</t>
  </si>
  <si>
    <t>N63°36'52.4381"</t>
  </si>
  <si>
    <t>E53°48'43.7782"</t>
  </si>
  <si>
    <t>N63°35'32.1788"</t>
  </si>
  <si>
    <t>E53°46'31.9937"</t>
  </si>
  <si>
    <t>N63°35'30.5640"</t>
  </si>
  <si>
    <t>E53°46'33.0752"</t>
  </si>
  <si>
    <t>N63°35'52.8249"</t>
  </si>
  <si>
    <t>E53°45'00.2236"</t>
  </si>
  <si>
    <t>N63°34'26.9153"</t>
  </si>
  <si>
    <t>E53°38'28.1147"</t>
  </si>
  <si>
    <t>N63°34'16.6013"</t>
  </si>
  <si>
    <t>E53°38'04.0134"</t>
  </si>
  <si>
    <t>N63°12'51.9982"</t>
  </si>
  <si>
    <t>E52°40'00.3633"</t>
  </si>
  <si>
    <t>N63°13'30.5626"</t>
  </si>
  <si>
    <t>E52°39'59.7454"</t>
  </si>
  <si>
    <t>N63°37'58.6969"</t>
  </si>
  <si>
    <t>E53°45'34.3763"</t>
  </si>
  <si>
    <t>N63°38'12.3502"</t>
  </si>
  <si>
    <t>E53°45'27.2695"</t>
  </si>
  <si>
    <t>N63°38'07.9251"</t>
  </si>
  <si>
    <t>E53°46'21.4974"</t>
  </si>
  <si>
    <t>N63°37'55.7807"</t>
  </si>
  <si>
    <t>E53°46'40.7320"</t>
  </si>
  <si>
    <t>N63°38'08.5083"</t>
  </si>
  <si>
    <t>E53°46'22.3471"</t>
  </si>
  <si>
    <t>N63°38'02.8136"</t>
  </si>
  <si>
    <t>E53°47'00.8936"</t>
  </si>
  <si>
    <t>N63°12'04.0457"</t>
  </si>
  <si>
    <t>E52°39'38.3486"</t>
  </si>
  <si>
    <t>N63°12'51.6793"</t>
  </si>
  <si>
    <t>E52°40'00.9049"</t>
  </si>
  <si>
    <t>N63°13'30.9398"</t>
  </si>
  <si>
    <t>E52°39'59.0510"</t>
  </si>
  <si>
    <t>N63°13'45.9718"</t>
  </si>
  <si>
    <t>E52°39'10.2305"</t>
  </si>
  <si>
    <t>N63°35'47.7636"</t>
  </si>
  <si>
    <t>E53°46'02.0504"</t>
  </si>
  <si>
    <t>N63°35'52.1605"</t>
  </si>
  <si>
    <t>E53°46'18.9676"</t>
  </si>
  <si>
    <t>N63°33'36.9742"</t>
  </si>
  <si>
    <t>E53°58'25.0180"</t>
  </si>
  <si>
    <t>N63°32'04.4788"</t>
  </si>
  <si>
    <t>E54°01'21.0653"</t>
  </si>
  <si>
    <t>N63°37'55.2367"</t>
  </si>
  <si>
    <t>E53°45'12.9069"</t>
  </si>
  <si>
    <t>N63°39'13.7383"</t>
  </si>
  <si>
    <t>E53°42'08.4782"</t>
  </si>
  <si>
    <t>8,0-26,0</t>
  </si>
  <si>
    <t>6,0-7,0</t>
  </si>
  <si>
    <t>8,0-18,0</t>
  </si>
  <si>
    <t>асф. бет. - 1,0 км
---------------
ж.б. плиты - 2,36 км</t>
  </si>
  <si>
    <t>ПГС - 3,54 км
-----------
ж.б. плиты - 0,050 км</t>
  </si>
  <si>
    <t>асфальтобетон</t>
  </si>
  <si>
    <t>лесная</t>
  </si>
  <si>
    <t>Подъезд к пст Веселый Кут</t>
  </si>
  <si>
    <t>Подъезд к ПРС-4 "5-го пускового комплекса (Ухта-Урдома)"</t>
  </si>
  <si>
    <t>частной дороги «Подъезд к карьеру «Чинья-Ворык»</t>
  </si>
  <si>
    <t>частной дороги «Подъезд к карьеру «Юромка»</t>
  </si>
  <si>
    <t>Сыктывкар - Ухта - Печора - Усинск - Нарьян-Мар на участке Сыктывкар - Ухта км 57+750 – км 246+590</t>
  </si>
  <si>
    <t>10, 11,5</t>
  </si>
  <si>
    <t>ведомственной дороги «Подъездная дорога для обслуживания газопровода-отвода от 38 км магистрального газопровода «Ухта-Торжок I» и ГРС «Веселый Кут»</t>
  </si>
  <si>
    <t>местной дороги "Подъезд к пст Веселый Кут"</t>
  </si>
  <si>
    <t>Подъездная дорога для обслуживания газопровода-отвода от 38 км магистрального газопровода ''Ухта-Торжок I'' и ГРС ''Веселый Кут''</t>
  </si>
  <si>
    <t>Подъездная дорога от а/д Ухта-Емва на опорный пункт. (км 88)</t>
  </si>
  <si>
    <t>Подъезд к ПРС-3 "5-го пускового комплекса (Ухта-Урдома)" в составе "Системы технологической связи Ухта-Грязовец-Торжок" входящей в стройку "Магистральный газопровод СРТО-Торжок"</t>
  </si>
  <si>
    <t>местной дороги "Промышленная ул в пст. Чиньяворык"</t>
  </si>
  <si>
    <t>Лапшенков</t>
  </si>
  <si>
    <t>ВЗиС, зем. участок адм. МР "Сосногорск"</t>
  </si>
  <si>
    <t xml:space="preserve"> Подъезд к пст Донаёль от автомобильной дороги Вогваздино - Яренск</t>
  </si>
  <si>
    <t>N62°07'28.5468"</t>
  </si>
  <si>
    <t>E50°32'25.0595"</t>
  </si>
  <si>
    <t>N63°12'03.7242"</t>
  </si>
  <si>
    <t>E52°39'38.8357"</t>
  </si>
  <si>
    <t>Подъезд к пст Иоссер от автомобильной дороги Сыктывкар - Ухта - Печора - Усинск - Нарьян-Мар
км 0+000 – км 2+730</t>
  </si>
  <si>
    <t>Кривошапкин</t>
  </si>
  <si>
    <t>местной автомобильной дороги «Подъезд к Зем. уч. Княжпогостского района КН 11:10:1401005:26»</t>
  </si>
  <si>
    <t>N62°58'08.8081"</t>
  </si>
  <si>
    <t>E52°13'15.7466"</t>
  </si>
  <si>
    <t>N62°59'19.5525"</t>
  </si>
  <si>
    <t>E52°11'54.7911"</t>
  </si>
  <si>
    <t>Подъезд к пгт Синдор от автомобильной дороги Сыктывкар - Ухта - Печора - Усинск - Нарьян-Мар
км 0+019 – км 3+906</t>
  </si>
  <si>
    <t>региональной автомобильной дороги «По пгт Синдор»</t>
  </si>
  <si>
    <t>По пгт Синдор
км 0+000 – км 2+670</t>
  </si>
  <si>
    <t>региональной автомобильной дороги «Подъезд к пгт Синдор от автомобильной дороги Сыктывкар - Ухта - Печора - Усинск - Нарьян-Мар»</t>
  </si>
  <si>
    <t>местной автомобильной дороги «Подъезд к базе Газпром трансгаз Ухта вдоль ж.д.»</t>
  </si>
  <si>
    <t>N62°49'30.9207"</t>
  </si>
  <si>
    <t>E51°56'38.8470"</t>
  </si>
  <si>
    <t>N62°51'04.9692"</t>
  </si>
  <si>
    <t>E51°54'57.6139"</t>
  </si>
  <si>
    <t>N62°51'58.7970"</t>
  </si>
  <si>
    <t>E51°53'15.2609"</t>
  </si>
  <si>
    <t>Вогваздино - Яренск от автомобильной дороги Сыктывкар - Ухта - Печора - Усинск - Нарьян-Мар
км 0+024 – км 75+500</t>
  </si>
  <si>
    <t>N62°12'09.3215"</t>
  </si>
  <si>
    <t>E50°26'15.2404"</t>
  </si>
  <si>
    <t>N62°06'39.5647"</t>
  </si>
  <si>
    <t>E49°19'48.8384"</t>
  </si>
  <si>
    <t>местной автомобильной дороги «Подъезд к КОС (ОАО «Усть-Вымская тепловая компания»), п. Казлук»</t>
  </si>
  <si>
    <t>региональной автомобильной дороги «Вогваздино - Яренск от автомобильной дороги Сыктывкар - Ухта - Печора - Усинск - Нарьян-Мар»</t>
  </si>
  <si>
    <t>частной дороги «Дорога к карьеру Дальний»</t>
  </si>
  <si>
    <t>Айкино - Кослан от автомобильной дороги Вогваздино - Яренск
км 0+010 – км 15+240</t>
  </si>
  <si>
    <t>III/IV</t>
  </si>
  <si>
    <t>N62°13'38.0108"</t>
  </si>
  <si>
    <t>E50°00'28.4010"</t>
  </si>
  <si>
    <t>N62°21'17.6289"</t>
  </si>
  <si>
    <t>E49°57'41.7392"</t>
  </si>
  <si>
    <t>региональной автомобильной дороги «Айкино - Кослан от автомобильной дороги Вогваздино - Яренск»</t>
  </si>
  <si>
    <t>местной автомобильной дороги «Подъезд к администрации (ул. Мечникова)»</t>
  </si>
  <si>
    <t>Подъезд к г. Микунь от автомобильной дороги Айкино - Кослан
км 0+040 – км 4+296</t>
  </si>
  <si>
    <t>N62°18'51.0729"</t>
  </si>
  <si>
    <t>E50°00'42.6923"</t>
  </si>
  <si>
    <t>N62°20'30.4281"</t>
  </si>
  <si>
    <t>E50°04'13.6555"</t>
  </si>
  <si>
    <t>Подъезд к пст Илья-Шор от автомобильной дороги Вогваздино - Яренск
км 0+048 – км 3+318</t>
  </si>
  <si>
    <t>ведомственной автомобильной дороги «Вдольтрассовый проезд СРТО – Торжок»</t>
  </si>
  <si>
    <t>Подъезд к железнодорожной станции "Гам" от автомобильной дороги Вогваздино - Яренск
км 0+012 – км 1+382</t>
  </si>
  <si>
    <t>ж.д. ст. Межег</t>
  </si>
  <si>
    <t xml:space="preserve"> Подъезд к железнодорожной станции "Межег" от автомобильной дороги Вогваздино - Яренск
км 0+017 – км 2+517</t>
  </si>
  <si>
    <t>лесной дороги «Подъезд к УРГ на км 296.6»</t>
  </si>
  <si>
    <t>Вдольтрассовый проезд км 1308,4 - 1310,15 г-да СРТО – Торжок</t>
  </si>
  <si>
    <t>Подъездная автодорога к площадке КС "Сосногорская"</t>
  </si>
  <si>
    <t>Подъезд к КУ км 175 (КН 11:10:0801001:432)</t>
  </si>
  <si>
    <t>Подъезд к ПРС-6 Тракт</t>
  </si>
  <si>
    <t>Подъезд к объекту проектирования УРГ на км 198,0 (КН 11:10:4503001:27)</t>
  </si>
  <si>
    <t>Подъезд к КС Микуньская</t>
  </si>
  <si>
    <t>Подъезд к КС-12 с северо-западной стороны</t>
  </si>
  <si>
    <t>Подъезд к УРГ, км 251</t>
  </si>
  <si>
    <t>Подъезд к ПРС км 202,5
(КН 11:10:4503001:28)</t>
  </si>
  <si>
    <t>Подъезд к ГРС Жешарт
(КН 11:08:0101001:133)</t>
  </si>
  <si>
    <t>Вдольтрассовый проезд СРТО – Торжок</t>
  </si>
  <si>
    <t>ПАО «Газпром» (ООО «Газпром трансгаз Ухта»)
(Сосногорское ЛПУ)</t>
  </si>
  <si>
    <t>ПАО «Газпром» (ООО «Газпром трансгаз Ухта»)
(Синдорское ЛПУ)</t>
  </si>
  <si>
    <t>ПАО «Газпром» (ООО «Газпром трансгаз Ухта»)
(Микуньское ЛПУ)</t>
  </si>
  <si>
    <t>ведомственной автомобильной дороги «Вдольтрассовый проезд км 1308,4 - 1310,15 г-да СРТО – Торжок»</t>
  </si>
  <si>
    <t>объекта проектирования у КС 10</t>
  </si>
  <si>
    <t>объекта проектирования УРГ на км 8,7</t>
  </si>
  <si>
    <t>ведомственной автомобильной дороги «Проезд вдоль МГ «Бованенко-Ухта» (от КС «Сосногорская» до КС-10 «Ухта»)»</t>
  </si>
  <si>
    <t>лесной дороги «Подъезд к трассе МГ 23»</t>
  </si>
  <si>
    <t>лесной дороги «Подъезд к трассе МГ 37,4»</t>
  </si>
  <si>
    <t>объекта проектирования в районе ГРС Веселый Кут</t>
  </si>
  <si>
    <t>объекта проектирования в районе  ГРС на 77 км</t>
  </si>
  <si>
    <t>объекта проектирования РП на км 88,0</t>
  </si>
  <si>
    <t>объекта проектирования УРГ на км 66,0</t>
  </si>
  <si>
    <t>ж.д. пути</t>
  </si>
  <si>
    <t>ведомственной автомобильной дороги «Южный подъезд к КС Синдорская КН 11:10:0801001:1243»</t>
  </si>
  <si>
    <t>объекта проектирования УРГ на км 198,0</t>
  </si>
  <si>
    <t>объекта проектирования в районе КС 12 Микунь</t>
  </si>
  <si>
    <t>объекта проектирования в районе ГРС Жешарт</t>
  </si>
  <si>
    <t>объекта проектирования ПРС-4 Йоссер</t>
  </si>
  <si>
    <t>КС Синдорская</t>
  </si>
  <si>
    <t>ведомственной автомобильной дороги «Подъезд к ПРС-6 Тракт»</t>
  </si>
  <si>
    <t>ведомственной автомобильной дороги «Подъезд к КУ км 175 (КН 11:10:0801001:432)»</t>
  </si>
  <si>
    <t>объекта проектирования БКУ на ПРС6- Тракт</t>
  </si>
  <si>
    <t>местной автомобильной дороги «Обход г. Микунь»</t>
  </si>
  <si>
    <t>объекта проектирования ВОЛС в районе КС 12 Микунь</t>
  </si>
  <si>
    <t>ведомственной автомобильной дороги «Подъезд к КС Микуньская»</t>
  </si>
  <si>
    <t>КС12 Микунь</t>
  </si>
  <si>
    <t>ГРС Жешард</t>
  </si>
  <si>
    <t>Подъезд к пгт Боровой</t>
  </si>
  <si>
    <t>Проезд от автомобильной дороги "Подъезд к пгт Боровой" до ул. Производственная</t>
  </si>
  <si>
    <t>ул. Производственная, пгт Боровой</t>
  </si>
  <si>
    <t>местной автомобильной дороги «Проезд от автомобильной дороги "Подъезд к пгт Боровой" до ул. Производственная»</t>
  </si>
  <si>
    <t>местной автомобильной дороги «Подъезд к пгт Боровой»</t>
  </si>
  <si>
    <t>местной автомобильной дороги «ул. Производственная, пгт Боровой»</t>
  </si>
  <si>
    <t>водонапорной башник</t>
  </si>
  <si>
    <t>Подъезд к Зем. уч. Княжпогостского района КН 11:10:1401005:26</t>
  </si>
  <si>
    <t>Подъезд к базе Газпром трансгаз Ухта вдоль ж.д.</t>
  </si>
  <si>
    <t>По г. Емва уч.1</t>
  </si>
  <si>
    <t>По ул. Куратова г. Емва</t>
  </si>
  <si>
    <t>ул. Строительей, г. Емва</t>
  </si>
  <si>
    <t>По ул. Одесская г. Емва</t>
  </si>
  <si>
    <t>ул. Калинина, г. Емва</t>
  </si>
  <si>
    <t>По ул. Московская г. Емва</t>
  </si>
  <si>
    <t>ул. Вымский мост, г. Емва</t>
  </si>
  <si>
    <t>По г. Емва уч.2</t>
  </si>
  <si>
    <t>ЗУ Адм. Княжпогосткого р-на</t>
  </si>
  <si>
    <t>базы Трансгаз Ухта</t>
  </si>
  <si>
    <t>региональной автомобильной дороги «Подъезд к пст Иоссер от автомобильной дороги Сыктывкар - Ухта - Печора - Усинск - Нарьян-Мар»</t>
  </si>
  <si>
    <t>региональной автомобильной дороги «Сыктывкар – Ухта – Печора – Усинск– Нарьян – Мар на участке Сыктывкар – Ухта»</t>
  </si>
  <si>
    <t>региональной автомобильной дороги "Подъезд к пгт Синдор от автомобильной дороги Сыктывкар - Ухта - Печора - Усинск - Нарьян-Мар"</t>
  </si>
  <si>
    <t>региональной автомобильной дороги "Подъезд к пст Иоссер от автомобильной дороги Сыктывкар - Ухта - Печора - Усинск - Нарьян-Мар"</t>
  </si>
  <si>
    <t>региональной автомобильной дороги "Сыктывкар – Ухта – Печора – Усинск– Нарьян – Мар на участке Сыктывкар – Ухта км 57+750 – км 246+590"</t>
  </si>
  <si>
    <t>региональной автомобильной дороги "Вогваздино - Яренск от автомобильной дороги Сыктывкар - Ухта - Печора - Усинск - Нарьян-Мар"</t>
  </si>
  <si>
    <t>местной автомобильной дороги «По ул. Куратова г. Емва»</t>
  </si>
  <si>
    <t>местной автомобильной дороги «По ул. Московская г. Емва»</t>
  </si>
  <si>
    <t xml:space="preserve">ПГС
-----------
асф. бет. </t>
  </si>
  <si>
    <t>пункта водозабора</t>
  </si>
  <si>
    <t>местной автомобильной дороги «По г. Емва уч.1»</t>
  </si>
  <si>
    <t>очистных сооруэений</t>
  </si>
  <si>
    <t>местной автомобильной дороги «По ул. Одесская г. Емва»</t>
  </si>
  <si>
    <t>местной автомобильной дороги «ул. Строительей, г. Емва»</t>
  </si>
  <si>
    <t>местной автомобильной дороги «ул. Калинина, г. Емва»</t>
  </si>
  <si>
    <t>местной автомобильной дороги «По г. Емва уч.2»</t>
  </si>
  <si>
    <t>ЗУ Адм. Княжпогостского р-на</t>
  </si>
  <si>
    <t>Подъезд к администрации (ул. Мечникова)</t>
  </si>
  <si>
    <t>Обход г. Микунь</t>
  </si>
  <si>
    <t>Подъезд к администрации (ул. Молодежная)</t>
  </si>
  <si>
    <t>по г. Микунь</t>
  </si>
  <si>
    <t>ул. Строительная, г. Микунь</t>
  </si>
  <si>
    <t>ул. Новосельская, г. Микунь</t>
  </si>
  <si>
    <t>ГП «Микунь»</t>
  </si>
  <si>
    <t>региональной автомобильной дороги «Подъезд к г. Микунь от автомобильной дороги Айкино - Кослан»</t>
  </si>
  <si>
    <t>местной автомобильной дороги «Подъезд к администрации (ул. Молодежная)»</t>
  </si>
  <si>
    <t>местной автомобильной дороги «по г. Микунь»</t>
  </si>
  <si>
    <t>местной автомобильной дороги «ул. Строительная, г. Микунь»</t>
  </si>
  <si>
    <t>местной автомобильной дороги «ул. Новосельская, г. Микунь»</t>
  </si>
  <si>
    <t>частной автомобильной дороги «Подъезд к тупику ТСК РЖД»</t>
  </si>
  <si>
    <t>Подъезд к полигону ТБО ООО «ЦЭП»</t>
  </si>
  <si>
    <t>По с. Айкино</t>
  </si>
  <si>
    <t>Подъезд к КОС (ОАО "Усть-Вымская тепловая компания"), п. Казлук</t>
  </si>
  <si>
    <t>МР «Усть-Вымский»</t>
  </si>
  <si>
    <t>региональной автомобильной дороги « Вогваздино - Яренск от автомобильной дороги Сыктывкар - Ухта - Печора - Усинск - Нарьян-Мар»</t>
  </si>
  <si>
    <t>очистных сооружений</t>
  </si>
  <si>
    <t>Подъезд к ж.д. тупику ООО "Автодор"</t>
  </si>
  <si>
    <t>Подъезд к карьеру Придорожный-2</t>
  </si>
  <si>
    <t>Подъезд к карьерам № 9 и № 11</t>
  </si>
  <si>
    <t>Подъезд к карьеру ИП Васильев А.О (Юромка)</t>
  </si>
  <si>
    <t>Подъезд к базе ООО "Газпром трансгаз Ухта", г. Микунь</t>
  </si>
  <si>
    <t>Подъезд к карьеру Кырс</t>
  </si>
  <si>
    <t>МР «Княжпогостский»</t>
  </si>
  <si>
    <t>МР «Сосногорск»</t>
  </si>
  <si>
    <t>ООО "Автодор"</t>
  </si>
  <si>
    <t>Подъезд к полигону ООО "Природа Пермь"</t>
  </si>
  <si>
    <t>ООО "Природа Пермь"</t>
  </si>
  <si>
    <t>ИП Васильев</t>
  </si>
  <si>
    <t>ОО "Газпром трансгаз Ухта"</t>
  </si>
  <si>
    <t>АО "РЖД"</t>
  </si>
  <si>
    <t>ООО «Алекс»</t>
  </si>
  <si>
    <t>ООО "Усть-Вымская ПМК"</t>
  </si>
  <si>
    <t>Подъезд к трассе МГ 37,4</t>
  </si>
  <si>
    <t>Дорога к ПРС-7 Половники</t>
  </si>
  <si>
    <t>Дорога к карьеру Дальний</t>
  </si>
  <si>
    <t>Подъезд к УРГ на км 296.6</t>
  </si>
  <si>
    <t>Подъезд к трассе МГ 23</t>
  </si>
  <si>
    <t>ГУ «Ухтинское лесничество»</t>
  </si>
  <si>
    <t>ГУ «Железнодорожное лесничество»</t>
  </si>
  <si>
    <t>ГУ «Айкинское лесничество»</t>
  </si>
  <si>
    <t>асф. бет. - 3,2 км
---------------
ж.б. плиты - 0,3 км</t>
  </si>
  <si>
    <t>Подъезд к ПРС-9 Кебырыб</t>
  </si>
  <si>
    <t>ведомственной автомобильной дороги «Подъезд к ГРС Жешарт»</t>
  </si>
  <si>
    <t>объекта проектирования ПРС-9 Кебырыб</t>
  </si>
  <si>
    <t>Подъезд к ВЗиС (Зем уч. адм. Сосногорского района)
КН 11:19:0401001:594
КН 11:19:0401001:596</t>
  </si>
  <si>
    <t>ЗУ Адм. Сосногорского р-на (КН 11:19:0401001:594, КН 11:19:0401001:596)</t>
  </si>
  <si>
    <t>асф. бет. - 11,52 км
---------------
ПГС - 3,710 км</t>
  </si>
  <si>
    <t>ПГС - 0,66 км
-----------
ж.б. плиты - 0,18 км</t>
  </si>
  <si>
    <t>маршрута нет</t>
  </si>
  <si>
    <t>Южный подъезд к КС Синдорская (КН 11:10:0801001:1243)</t>
  </si>
  <si>
    <t>удалить</t>
  </si>
  <si>
    <t>ПГС - 0,2 км
-----------
асф. бет. - 0,31 км</t>
  </si>
  <si>
    <t>N62°11'22.7732"</t>
  </si>
  <si>
    <t>E49°53'00.0541"</t>
  </si>
  <si>
    <t>N62°12'26.8057"</t>
  </si>
  <si>
    <t>E49°50'01.6942"</t>
  </si>
  <si>
    <t>N62°06'50.5745"</t>
  </si>
  <si>
    <t>E49°36'36.0715"</t>
  </si>
  <si>
    <t>N62°07'30.4454"</t>
  </si>
  <si>
    <t>E49°35'55.9897"</t>
  </si>
  <si>
    <t>N62°04'34.1586"</t>
  </si>
  <si>
    <t>E49°22'32.7726"</t>
  </si>
  <si>
    <t>N62°05'18.4096"</t>
  </si>
  <si>
    <t>E49°24'56.5304"</t>
  </si>
  <si>
    <t>N62°04'45.6706"</t>
  </si>
  <si>
    <t>E49°22'13.4800"</t>
  </si>
  <si>
    <t>N62°05'26.6086"</t>
  </si>
  <si>
    <t>E49°24'33.2209"</t>
  </si>
  <si>
    <t>N63°28'52.2780"</t>
  </si>
  <si>
    <t>E53°11'43.3135"</t>
  </si>
  <si>
    <t>N63°28'36.2042"</t>
  </si>
  <si>
    <t>E53°08'26.6411"</t>
  </si>
  <si>
    <t>N63°17'19.3193"</t>
  </si>
  <si>
    <t>E52°50'42.3564"</t>
  </si>
  <si>
    <t>N63°13'29.2109"</t>
  </si>
  <si>
    <t>E52°54'04.4941"</t>
  </si>
  <si>
    <t>N63°13'29.2022"</t>
  </si>
  <si>
    <t>E52°54'04.4555"</t>
  </si>
  <si>
    <t>N63°13'47.5833"</t>
  </si>
  <si>
    <t>E52°53'54.1236"</t>
  </si>
  <si>
    <t>N63°13'49.7492"</t>
  </si>
  <si>
    <t>E52°53'49.0832"</t>
  </si>
  <si>
    <t>N63°33'24.0953"</t>
  </si>
  <si>
    <t>E53°57'29.8956"</t>
  </si>
  <si>
    <t>N63°32'55.9700"</t>
  </si>
  <si>
    <t>E53°58'29.1252"</t>
  </si>
  <si>
    <t>N62°59'19.7429"</t>
  </si>
  <si>
    <t>E52°11'56.0565"</t>
  </si>
  <si>
    <t>N62°59'14.6733"</t>
  </si>
  <si>
    <t>E52°12'41.5553"</t>
  </si>
  <si>
    <t>N62°51'58.8280"</t>
  </si>
  <si>
    <t>E51°53'14.8818"</t>
  </si>
  <si>
    <t>N62°51'48.2650"</t>
  </si>
  <si>
    <t>E51°52'27.5097"</t>
  </si>
  <si>
    <t>N62°34'36.0718"</t>
  </si>
  <si>
    <t>E50°51'15.9738"</t>
  </si>
  <si>
    <t>N62°31'54.7766"</t>
  </si>
  <si>
    <t>E50°50'28.7368"</t>
  </si>
  <si>
    <t>N62°34'15.5018"</t>
  </si>
  <si>
    <t>E50°50'04.3498"</t>
  </si>
  <si>
    <t>N62°34'31.1754"</t>
  </si>
  <si>
    <t>E50°50'06.8604"</t>
  </si>
  <si>
    <t>N62°34'31.3115"</t>
  </si>
  <si>
    <t>E50°50'07.5260"</t>
  </si>
  <si>
    <t>N62°34'25.3008"</t>
  </si>
  <si>
    <t>E50°50'56.8728"</t>
  </si>
  <si>
    <t>N62°34'25.2825"</t>
  </si>
  <si>
    <t>E50°50'57.2183"</t>
  </si>
  <si>
    <t>N62°34'37.8640"</t>
  </si>
  <si>
    <t>E50°51'05.1169"</t>
  </si>
  <si>
    <t>N62°34'36.1741"</t>
  </si>
  <si>
    <t>E50°51'14.9466"</t>
  </si>
  <si>
    <t>N62°33'17.0142"</t>
  </si>
  <si>
    <t>E50°50'13.7123"</t>
  </si>
  <si>
    <t>N62°33'24.3216"</t>
  </si>
  <si>
    <t>E50°50'06.6441"</t>
  </si>
  <si>
    <t>N62°20'30.5654"</t>
  </si>
  <si>
    <t>E50°04'13.3048"</t>
  </si>
  <si>
    <t>N62°20'47.9462"</t>
  </si>
  <si>
    <t>E50°04'50.5575"</t>
  </si>
  <si>
    <t>N62°21'47.5700"</t>
  </si>
  <si>
    <t>E50°05'58.3422"</t>
  </si>
  <si>
    <t>N62°21'50.3701"</t>
  </si>
  <si>
    <t>E50°05'21.3365"</t>
  </si>
  <si>
    <t>N62°21'45.7925"</t>
  </si>
  <si>
    <t>E50°05'11.2364"</t>
  </si>
  <si>
    <t>N62°21'59.8561"</t>
  </si>
  <si>
    <t>E50°04'35.8956"</t>
  </si>
  <si>
    <t>N62°21'44.1621"</t>
  </si>
  <si>
    <t>E50°04'05.7304"</t>
  </si>
  <si>
    <t>N62°21'46.9571"</t>
  </si>
  <si>
    <t>E50°03'59.9755"</t>
  </si>
  <si>
    <t>базы ООО «СПС»</t>
  </si>
  <si>
    <t>N62°15'46.4864"</t>
  </si>
  <si>
    <t>E49°59'20.5685"</t>
  </si>
  <si>
    <t>N62°15'53.2452"</t>
  </si>
  <si>
    <t>E49°57'46.1719"</t>
  </si>
  <si>
    <t>N62°13'56.7339"</t>
  </si>
  <si>
    <t>E50°02'19.9727"</t>
  </si>
  <si>
    <t>N62°13'46.1910"</t>
  </si>
  <si>
    <t>E50°01'51.7484"</t>
  </si>
  <si>
    <t>N62°06'39.7182"</t>
  </si>
  <si>
    <t>E49°19'48.1816"</t>
  </si>
  <si>
    <t>N62°06'34.5601"</t>
  </si>
  <si>
    <t>E49°19'28.4834"</t>
  </si>
  <si>
    <t>базы ООО "Автодор"</t>
  </si>
  <si>
    <t>карьера Пригородный 2</t>
  </si>
  <si>
    <t>карьеров № 9 и № 11</t>
  </si>
  <si>
    <t>карьера Юромка</t>
  </si>
  <si>
    <t>базы ООО "Газпром трансгаз Ухта"</t>
  </si>
  <si>
    <t>карьера Кырс</t>
  </si>
  <si>
    <t>Подъезд к терм-склад комплексу ОАО "РЖД"</t>
  </si>
  <si>
    <t>базы ОАО "РЖД"</t>
  </si>
  <si>
    <t>N63°33'24.9990"</t>
  </si>
  <si>
    <t>E53°57'03.7976"</t>
  </si>
  <si>
    <t>N63°33'20.4798"</t>
  </si>
  <si>
    <t>E53°57'03.7783"</t>
  </si>
  <si>
    <t>N63°11'59.2844"</t>
  </si>
  <si>
    <t>E52°39'29.8918"</t>
  </si>
  <si>
    <t>N63°12'06.7028"</t>
  </si>
  <si>
    <t>E52°39'23.3451"</t>
  </si>
  <si>
    <t>N62°28'28.8545"</t>
  </si>
  <si>
    <t>E50°47'55.8861"</t>
  </si>
  <si>
    <t>N62°28'25.2667"</t>
  </si>
  <si>
    <t>E50°48'03.7654"</t>
  </si>
  <si>
    <t>N62°22'48.2646"</t>
  </si>
  <si>
    <t>E50°44'40.5263"</t>
  </si>
  <si>
    <t>N62°22'55.2657"</t>
  </si>
  <si>
    <t>E50°44'52.7121"</t>
  </si>
  <si>
    <t>N62°07'28.5894"</t>
  </si>
  <si>
    <t>E50°32'25.8176"</t>
  </si>
  <si>
    <t>N62°07'28.1921"</t>
  </si>
  <si>
    <t>E50°35'40.7906"</t>
  </si>
  <si>
    <t>N62°21'47.5853"</t>
  </si>
  <si>
    <t>E50°05'58.7437"</t>
  </si>
  <si>
    <t>N62°21'48.4991"</t>
  </si>
  <si>
    <t>E50°06'07.8106"</t>
  </si>
  <si>
    <t>N62°13'51.6935"</t>
  </si>
  <si>
    <t>E50°02'40.9867"</t>
  </si>
  <si>
    <t>N62°13'35.7847"</t>
  </si>
  <si>
    <t>E50°03'10.9009"</t>
  </si>
  <si>
    <t>N62°21'46.9623"</t>
  </si>
  <si>
    <t>E50°03'59.9052"</t>
  </si>
  <si>
    <t>N62°21'51.3831"</t>
  </si>
  <si>
    <t>E50°03'53.1557"</t>
  </si>
  <si>
    <t>нет фото</t>
  </si>
  <si>
    <t>ПГС - 1,47
-----------
асф. бет. - 1,0 км</t>
  </si>
  <si>
    <t>местной автомобильной дороги «Подъезд к пст Веселый Кут»</t>
  </si>
  <si>
    <t>объекта проектирования БКУ на ПРС</t>
  </si>
  <si>
    <t>N63°39'14.0851"</t>
  </si>
  <si>
    <t>E53°42'08.5003"</t>
  </si>
  <si>
    <t>N63°39'38.2681"</t>
  </si>
  <si>
    <t>E53°44'11.0150"</t>
  </si>
  <si>
    <t>N63°39'38.3651"</t>
  </si>
  <si>
    <t>E53°44'12.7742"</t>
  </si>
  <si>
    <t>N63°39'39.5733"</t>
  </si>
  <si>
    <t>E53°45'50.4151"</t>
  </si>
  <si>
    <t>N63°39'25.2139"</t>
  </si>
  <si>
    <t>E53°41'36.9494"</t>
  </si>
  <si>
    <t>N63°39'32.8962"</t>
  </si>
  <si>
    <t>E53°41'53.9728"</t>
  </si>
  <si>
    <t>N63°28'36.2695"</t>
  </si>
  <si>
    <t>E53°08'26.6584"</t>
  </si>
  <si>
    <t>N63°28'39.8959"</t>
  </si>
  <si>
    <t>E53°08'20.2082"</t>
  </si>
  <si>
    <t>N63°13'26.5078"</t>
  </si>
  <si>
    <t>E52°40'06.4208"</t>
  </si>
  <si>
    <t>N63°13'14.1007"</t>
  </si>
  <si>
    <t>E52°39'41.5471"</t>
  </si>
  <si>
    <t>N63°08'36.3190"</t>
  </si>
  <si>
    <t>E52°32'03.0714"</t>
  </si>
  <si>
    <t>N63°09'22.1814"</t>
  </si>
  <si>
    <t>E52°31'15.4869"</t>
  </si>
  <si>
    <t>N63°39'19.6327"</t>
  </si>
  <si>
    <t>E53°41'51.2855"</t>
  </si>
  <si>
    <t>N63°33'11.6182"</t>
  </si>
  <si>
    <t>E53°24'11.6413"</t>
  </si>
  <si>
    <t>N63°29'21.0102"</t>
  </si>
  <si>
    <t>E53°09'29.0923"</t>
  </si>
  <si>
    <t>N63°28'45.7411"</t>
  </si>
  <si>
    <t>E53°07'58.7754"</t>
  </si>
  <si>
    <t>N63°17'12.9923"</t>
  </si>
  <si>
    <t>E52°49'48.2780"</t>
  </si>
  <si>
    <t>N63°12'45.5755"</t>
  </si>
  <si>
    <t>E52°38'16.9601"</t>
  </si>
  <si>
    <t>N63°12'44.8365"</t>
  </si>
  <si>
    <t>E52°38'15.4666"</t>
  </si>
  <si>
    <t>N63°09'04.8527"</t>
  </si>
  <si>
    <t>E52°30'43.7032"</t>
  </si>
  <si>
    <t>N62°50'39.1946"</t>
  </si>
  <si>
    <t>E51°55'42.9753"</t>
  </si>
  <si>
    <t>N62°50'30.6445"</t>
  </si>
  <si>
    <t>E51°55'08.6387"</t>
  </si>
  <si>
    <t>N62°34'22.7372"</t>
  </si>
  <si>
    <t>E50°55'09.4684"</t>
  </si>
  <si>
    <t>N62°31'35.5553"</t>
  </si>
  <si>
    <t>E50°50'29.6872"</t>
  </si>
  <si>
    <t>N62°19'01.7146"</t>
  </si>
  <si>
    <t>E50°07'39.6307"</t>
  </si>
  <si>
    <t>N62°07'24.3470"</t>
  </si>
  <si>
    <t>E49°35'41.2054"</t>
  </si>
  <si>
    <t>N62°58'42.2009"</t>
  </si>
  <si>
    <t>E52°12'17.2406"</t>
  </si>
  <si>
    <t>N62°58'43.2209"</t>
  </si>
  <si>
    <t>E52°12'22.7542"</t>
  </si>
  <si>
    <t>N62°50'39.3530"</t>
  </si>
  <si>
    <t>E51°55'42.6332"</t>
  </si>
  <si>
    <t>N62°50'50.5111"</t>
  </si>
  <si>
    <t>E51°55'28.5548"</t>
  </si>
  <si>
    <t>N62°41'09.3612"</t>
  </si>
  <si>
    <t>E51°17'17.5462"</t>
  </si>
  <si>
    <t>N62°40'58.2614"</t>
  </si>
  <si>
    <t>E51°17'18.8160"</t>
  </si>
  <si>
    <t>N62°40'58.6469"</t>
  </si>
  <si>
    <t>E51°17'08.9814"</t>
  </si>
  <si>
    <t>N62°34'24.8153"</t>
  </si>
  <si>
    <t>E50°54'48.0610"</t>
  </si>
  <si>
    <t>N62°34'17.9702"</t>
  </si>
  <si>
    <t>E50°55'02.3035"</t>
  </si>
  <si>
    <t>N62°32'43.3099"</t>
  </si>
  <si>
    <t>E50°52'28.1519"</t>
  </si>
  <si>
    <t>N62°32'42.4729"</t>
  </si>
  <si>
    <t>E50°52'49.3178"</t>
  </si>
  <si>
    <t>N62°20'36.0957"</t>
  </si>
  <si>
    <t>E50°05'23.2194"</t>
  </si>
  <si>
    <t>N62°19'46.8630"</t>
  </si>
  <si>
    <t>E50°07'38.5572"</t>
  </si>
  <si>
    <t>N62°20'09.7669"</t>
  </si>
  <si>
    <t>E50°06'33.4320"</t>
  </si>
  <si>
    <t>N62°20'08.2157"</t>
  </si>
  <si>
    <t>E50°06'30.6994"</t>
  </si>
  <si>
    <t>N62°20'01.8003"</t>
  </si>
  <si>
    <t>E50°06'55.2370"</t>
  </si>
  <si>
    <t>N62°18'58.9241"</t>
  </si>
  <si>
    <t>E50°07'34.5754"</t>
  </si>
  <si>
    <t>N62°06'40.0562"</t>
  </si>
  <si>
    <t>E49°36'03.6669"</t>
  </si>
  <si>
    <t>N62°06'47.9962"</t>
  </si>
  <si>
    <t>E49°35'56.9367"</t>
  </si>
  <si>
    <t>N62°06'47.8472"</t>
  </si>
  <si>
    <t>E49°36'00.4129"</t>
  </si>
  <si>
    <t>N62°06'52.1286"</t>
  </si>
  <si>
    <t>E49°36'10.5420"</t>
  </si>
  <si>
    <t>карьера Дальний</t>
  </si>
  <si>
    <t>региональной автомобильной дороги «Подъезд к пст Донаёль от автомобильной дороги Вогваздино - Яренск»</t>
  </si>
  <si>
    <t>объекта проектирования УРГ на км 296,6</t>
  </si>
  <si>
    <t>N63°32'07.1248"</t>
  </si>
  <si>
    <t>E53°25'48.9278"</t>
  </si>
  <si>
    <t>N63°33'11.6258"</t>
  </si>
  <si>
    <t>E53°24'11.7262"</t>
  </si>
  <si>
    <t>N63°28'55.5762"</t>
  </si>
  <si>
    <t>E53°10'12.0805"</t>
  </si>
  <si>
    <t>N63°29'21.0090"</t>
  </si>
  <si>
    <t>E53°09'29.0584"</t>
  </si>
  <si>
    <t>N63°16'39.8022"</t>
  </si>
  <si>
    <t>E52°49'15.4566"</t>
  </si>
  <si>
    <t>N63°16'47.3048"</t>
  </si>
  <si>
    <t>E52°48'57.8345"</t>
  </si>
  <si>
    <t>N62°32'42.4158"</t>
  </si>
  <si>
    <t>E50°52'49.8648"</t>
  </si>
  <si>
    <t>N62°32'42.4915"</t>
  </si>
  <si>
    <t>E50°53'32.4186"</t>
  </si>
  <si>
    <t>N62°21'17.6333"</t>
  </si>
  <si>
    <t>E49°57'41.6679"</t>
  </si>
  <si>
    <t>N62°22'46.4545"</t>
  </si>
  <si>
    <t>E49°48'27.5997"</t>
  </si>
  <si>
    <t>N62°05'26.8685"</t>
  </si>
  <si>
    <t>E49°24'33.0625"</t>
  </si>
  <si>
    <t>N62°05'37.4395"</t>
  </si>
  <si>
    <t>E49°23'26.5041"</t>
  </si>
  <si>
    <t>N63°17'12.9696"</t>
  </si>
  <si>
    <t>E52°49'48.2927"</t>
  </si>
  <si>
    <t>N63°17'09.6054"</t>
  </si>
  <si>
    <t>E52°49'55.6891"</t>
  </si>
  <si>
    <t>есть фото</t>
  </si>
  <si>
    <t>Проезд от ВТП км  66,3 до объекта проектирования УРГ на км 66,0
(КН 11:20:0301001:206)</t>
  </si>
  <si>
    <t>Подъезд к трассе МГ 66,4
(КН 11:10:0401001:943)</t>
  </si>
  <si>
    <t>7,0-10,0</t>
  </si>
  <si>
    <t xml:space="preserve"> Сыктывкар – Ухта – Печора – Усинск - Нарьян-Мар (на участке Ухта - Сосногорск)
км 0+000 – км 23+450</t>
  </si>
  <si>
    <t>РК 29</t>
  </si>
  <si>
    <t>от региональной автомобильной дороги «Сыктывкар - Ухта - Печора - Усинск - Нарьян-Мар на участке Сыктывкар – Ухта» до ВЗиС, зем. участок адм. МР "Сосногорск"</t>
  </si>
  <si>
    <t>РК 30</t>
  </si>
  <si>
    <t>от местной автомобильной дороги «г.Ухта-«Дальний» до региональной автомобильной дороги «Сыктывкар - Ухта - Печора - Усинск - Нарьян-Мар на участке Ухта – Сосногорск»</t>
  </si>
  <si>
    <t>РК 31</t>
  </si>
  <si>
    <t>от региональной автомобильной дороги «Сыктывкар - Ухта - Печора - Усинск - Нарьян-Мар на участке Ухта – Сосногорск» до частной автомобильной дороги «Подъезд к карьеру "Строительное-7"»</t>
  </si>
  <si>
    <t>РК 34.1</t>
  </si>
  <si>
    <t>от местной автомобильной дороги «Шудаяг - Заболотный» до региональной автомобильной дороги «Сыктывкар – Ухта – Печора – Усинск - Нарьян-Мар (на участке Ухта - Сосногорск)»</t>
  </si>
  <si>
    <t>РК 34.2</t>
  </si>
  <si>
    <t>от частной автомобильной дороги «Подъезд к карьеру «Чинья-Ворык» до местной автомобильной дороги «Шудаяг - Заболотный»</t>
  </si>
  <si>
    <t>РК 34.3</t>
  </si>
  <si>
    <t>от частной дороги «Подъезд к карьеру «Юромка» до частной дороги «Подъезд к карьеру «Чинья-Ворык»</t>
  </si>
  <si>
    <t>РК 35</t>
  </si>
  <si>
    <t>от региональной автомобильной дороги «Сыктывкар - Ухта - Печора - Усинск - Нарьян-Мар на участке Сыктывкар - Ухта» до местной автомобильной дороги «Подъезд к Зем. уч. Княжпогостского района КН 11:10:1401005:26»</t>
  </si>
  <si>
    <t>РК 36</t>
  </si>
  <si>
    <t>от региональной автомобильной дороги «Сыктывкар - Ухта - Печора - Усинск - Нарьян-Мар на участке Сыктывкар - Ухта» до региональной автомобильной дороги «По пгт Синдор»</t>
  </si>
  <si>
    <t>РК 37</t>
  </si>
  <si>
    <t>от региональной автомобильной дороги «Подъезд к пгт Синдор от автомобильной дороги Сыктывкар - Ухта - Печора - Усинск - Нарьян-Мар» до местной автомобильной дороги «Подъезд к базе Газпром трансгаз Ухта вдоль ж.д.»</t>
  </si>
  <si>
    <t>РК 38</t>
  </si>
  <si>
    <t>от региональной автомобильной дороги «Сыктывкар - Ухта - Печора - Усинск - Нарьян-Мар на участке Сыктывкар - Ухта» до местной автомобильной дороги «Подъезд к КОС (ОАО «Усть-Вымская тепловая компания»), п. Казлук»</t>
  </si>
  <si>
    <t>РК 39</t>
  </si>
  <si>
    <t>от региональной автомобильной дороги «Вогваздино - Яренск от автомобильной дороги Сыктывкар - Ухта - Печора - Усинск - Нарьян-Мар» до частной дороги «Дорога к карьеру Дальний»</t>
  </si>
  <si>
    <t>РК 40</t>
  </si>
  <si>
    <t>от региональной автомобильной дороги «Айкино - Кослан от автомобильной дороги Вогваздино - Яренск» до местной автомобильной дороги «Подъезд к администрации (ул. Мечникова)»</t>
  </si>
  <si>
    <t>РК 41</t>
  </si>
  <si>
    <t>от региональной автомобильной дороги «Вогваздино - Яренск от автомобильной дороги Сыктывкар - Ухта - Печора - Усинск - Нарьян-Мар» до ведомственной автомобильной дороги «Вдольтрассовый проезд СРТО – Торжок»</t>
  </si>
  <si>
    <t>РК 42</t>
  </si>
  <si>
    <t>РК 43</t>
  </si>
  <si>
    <t>от региональной автомобильной дороги «Вогваздино - Яренск от автомобильной дороги Сыктывкар - Ухта - Печора - Усинск - Нарьян-Мар» до ж.д. ст. Межег</t>
  </si>
  <si>
    <t>РК 44</t>
  </si>
  <si>
    <t>от региональной автомобильной дороги «Вогваздино - Яренск от автомобильной дороги Сыктывкар - Ухта - Печора - Усинск - Нарьян-Мар» до лесной дороги «Подъезд к УРГ на км 296.6»</t>
  </si>
  <si>
    <t>РК 130</t>
  </si>
  <si>
    <t>от региональной автомобильной дороги «Ухта - Сосногорск от автомобильной дороги Ухта - Троицко-Печорск» до местной автомобильной дороги «Съезд с автодороги г.Ухта-"Дальний" к жд станции Ухта»</t>
  </si>
  <si>
    <t>РК 131</t>
  </si>
  <si>
    <t>от местной автомобильной дороги «г.Ухта-«Дальний» до местной автомобильной дороги «Проезд от ул. Уральская до ул. Тихановича 4, г. Ухта»</t>
  </si>
  <si>
    <t>РК 132</t>
  </si>
  <si>
    <t>от местной автомобильной дороги «ул. Уральская, г. Ухта» до базы ООО "СПС"</t>
  </si>
  <si>
    <t>РК 133</t>
  </si>
  <si>
    <t>от базы Инвест Альянс до местной автомобильной дороги «г.Ухта-«Дальний»</t>
  </si>
  <si>
    <t>РК 134</t>
  </si>
  <si>
    <t>от местной автомобильной дороги «Подъезд к «Дежнево» до местной автомобильной дороги «г.Ухта-«Дальний»</t>
  </si>
  <si>
    <t>РК 135</t>
  </si>
  <si>
    <t>от местной автомобильной дороги «Подъезд к "УРМЗ", г. Ухта» до местной автомобильной дороги «Подъезд к "Дежнево"»</t>
  </si>
  <si>
    <t>РК 136</t>
  </si>
  <si>
    <t>от пункта приема металлолома до местной автомобильной дороги «Подъезд к промышленной зоне N 1, г. Ухта»</t>
  </si>
  <si>
    <t>РК 137</t>
  </si>
  <si>
    <t>от местной автомобильной дороги «г.Ухта-«Дальний» до местной автомобильной дороги «Подъезд к железнодорожной станции в г. Ухте»</t>
  </si>
  <si>
    <t>РК 138</t>
  </si>
  <si>
    <t>от местной автомобильной дороги «Подъезд к промышленной зоне N 1, г. Ухта» до местной автомобильной дороги «ул. Промышленная»</t>
  </si>
  <si>
    <t>РК 139</t>
  </si>
  <si>
    <t>от местной автомобильной дороги «Подъезд к «Дежнево» до базе АО "РЖД Логистика"</t>
  </si>
  <si>
    <t>РК 140</t>
  </si>
  <si>
    <t>от местной автомобильной дороги «Подъезд к «Дежнево» до пункта приема стоков</t>
  </si>
  <si>
    <t>РК 141</t>
  </si>
  <si>
    <t>от местной автомобильной дороги «Подъезд к «Дежнево» до пункта приема вторсырья</t>
  </si>
  <si>
    <t>РК 142</t>
  </si>
  <si>
    <t>от местной автомобильной дороги «Подъезд к «Дежнево» до частной автомобильной дороги «Подъезд к карьеру Бельгоп-1»</t>
  </si>
  <si>
    <t>РК 143</t>
  </si>
  <si>
    <t>от региональной автомобильной дороги «Сыктывкар – Ухта – Печора – Усинск - Нарьян-Мар (на участке Ухта - Сосногорск)» до местной автомобильной дороги «ул. Промышленная, г. Ухта»</t>
  </si>
  <si>
    <t>РК 144</t>
  </si>
  <si>
    <t>от местной автомобильной дороги «ул. Промышленная, г. Ухта» до базы ООО "СПС"</t>
  </si>
  <si>
    <t>РК 145</t>
  </si>
  <si>
    <t>от региональной автомобильной дороги «Сыктывкар - Ухта - Печора - Усинск - Нарьян-Мар на участке Сыктывкар - Ухта» до региональной автомобильной дороги «Сыктывкар - Ухта - Печора - Усинск - Нарьян-Мар на участке Сыктывкар - Ухта»</t>
  </si>
  <si>
    <t>РК 146</t>
  </si>
  <si>
    <t>от региональной автомобильной дороги «Сыктывкар - Ухта - Печора - Усинск - Нарьян-Мар на участке Сыктывкар - Ухта» до ведомственной дороги «Подъездная дорога для обслуживания газопровода-отвода от 38 км магистрального газопровода «Ухта-Торжок I» и ГРС «Веселый Кут»</t>
  </si>
  <si>
    <t>РК 147</t>
  </si>
  <si>
    <t>от региональной автомобильной дороги «Сыктывкар - Ухта - Печора - Усинск - Нарьян-Мар на участке Сыктывкар - Ухта» до местной автомобильной дороги «Проезд от автомобильной дороги "Подъезд к пгт Боровой" до ул. Производственная»</t>
  </si>
  <si>
    <t>РК 148</t>
  </si>
  <si>
    <t>от местной автомобильной дороги «Подъезд к пгт Боровой» до местной автомобильной дороги «ул. Производственная, пгт Боровой»</t>
  </si>
  <si>
    <t>РК 149</t>
  </si>
  <si>
    <t>от местной автомобильной дороги «Проезд от автомобильной дороги "Подъезд к пгт Боровой" до ул. Производственная» до водонапорной башник</t>
  </si>
  <si>
    <t>РК 151</t>
  </si>
  <si>
    <t>от региональной автомобильной дороги «Сыктывкар – Ухта – Печора – Усинск - Нарьян-Мар (на участке Ухта - Сосногорск)» до ЗУ Адм. Сосногорского р-на (КН 11:19:0401001:594, КН 11:19:0401001:596)</t>
  </si>
  <si>
    <t>РК 155</t>
  </si>
  <si>
    <t>от частной автодороги «Подъезд к карьеру «Чинья-Ворык» до частной автодороги «Подъезд к карьеру «Чинья-Ворык»</t>
  </si>
  <si>
    <t>РК 156</t>
  </si>
  <si>
    <t>от региональной автомобильной дороги «Подъезд к пст Иоссер от автомобильной дороги Сыктывкар - Ухта - Печора - Усинск - Нарьян-Мар» до ЗУ Адм. Княжпогосткого р-на</t>
  </si>
  <si>
    <t>РК 157</t>
  </si>
  <si>
    <t>от региональной автомобильной дороги «По пгт Синдор» до базы Трансгаз Ухта</t>
  </si>
  <si>
    <t>РК 158.1</t>
  </si>
  <si>
    <t>от региональной автомобильной дороги «Сыктывкар – Ухта – Печора – Усинск– Нарьян – Мар на участке Сыктывкар – Ухта» до местной автомобильной дороги «По ул. Куратова г. Емва»</t>
  </si>
  <si>
    <t>РК 158.2</t>
  </si>
  <si>
    <t>от местной автомобильной дороги «По ул. Московская г. Емва» до региональной автомобильной дороги «Сыктывкар – Ухта – Печора – Усинск– Нарьян – Мар на участке Сыктывкар – Ухта»</t>
  </si>
  <si>
    <t>РК 159</t>
  </si>
  <si>
    <t>от местной автомобильной дороги «По г. Емва уч.1» до пункта водозабора</t>
  </si>
  <si>
    <t>РК 160</t>
  </si>
  <si>
    <t>от очистных сооруэений до местной автомобильной дороги «По ул. Одесская г. Емва»</t>
  </si>
  <si>
    <t>РК 161</t>
  </si>
  <si>
    <t>от местной автомобильной дороги «ул. Строительей, г. Емва» до местной автомобильной дороги «ул. Калинина, г. Емва»</t>
  </si>
  <si>
    <t>РК 162</t>
  </si>
  <si>
    <t>от местной автомобильной дороги «По ул. Одесская г. Емва» до местной автомобильной дороги «По ул. Московская г. Емва»</t>
  </si>
  <si>
    <t>РК 163</t>
  </si>
  <si>
    <t>от местной автомобильной дороги «ул. Калинина, г. Емва» до местной автомобильной дороги «По г. Емва уч.2»</t>
  </si>
  <si>
    <t>РК 164</t>
  </si>
  <si>
    <t>от местной автомобильной дороги «По г. Емва уч.2» до ЗУ Адм. Княжпогостского р-на</t>
  </si>
  <si>
    <t>РК 170</t>
  </si>
  <si>
    <t>от региональной автомобильной дороги «Подъезд к г. Микунь от автомобильной дороги Айкино - Кослан» до местной автомобильной дороги «Обход г. Микунь»</t>
  </si>
  <si>
    <t>РК 171</t>
  </si>
  <si>
    <t>от местной автомобильной дороги «Подъезд к администрации (ул. Мечникова)» до местной автомобильной дороги «Подъезд к администрации (ул. Молодежная)»</t>
  </si>
  <si>
    <t>РК 172</t>
  </si>
  <si>
    <t>от местной автомобильной дороги «Обход г. Микунь» до местной автомобильной дороги «по г. Микунь»</t>
  </si>
  <si>
    <t>РК 173</t>
  </si>
  <si>
    <t>от местной автомобильной дороги «Подъезд к администрации (ул. Молодежная)» до местной автомобильной дороги «ул. Строительная, г. Микунь»</t>
  </si>
  <si>
    <t>РК 174</t>
  </si>
  <si>
    <t>от местной автомобильной дороги «по г. Микунь» до местной автомобильной дороги «ул. Новосельская, г. Микунь»</t>
  </si>
  <si>
    <t>РК 175</t>
  </si>
  <si>
    <t>от местной автомобильной дороги «ул. Строительная, г. Микунь» до частной автомобильной дороги «Подъезд к тупику ТСК РЖД»</t>
  </si>
  <si>
    <t>РК 180</t>
  </si>
  <si>
    <t>от региональной автомобильной дороги «Айкино - Кослан от автомобильной дороги Вогваздино - Яренск» до полигона ТБО</t>
  </si>
  <si>
    <t>РК 181</t>
  </si>
  <si>
    <t>от региональной автомобильной дороги «Вогваздино - Яренск от автомобильной дороги Сыктывкар - Ухта - Печора - Усинск - Нарьян-Мар» до базы ООО «СПС»</t>
  </si>
  <si>
    <t>РК 182</t>
  </si>
  <si>
    <t>от региональной автомобильной дороги « Вогваздино - Яренск от автомобильной дороги Сыктывкар - Ухта - Печора - Усинск - Нарьян-Мар» до очистных сооружений</t>
  </si>
  <si>
    <t>РК 300</t>
  </si>
  <si>
    <t>от региональной автомобильной дороги «Ухта - Усть-Ухта» до полигона ТКО</t>
  </si>
  <si>
    <t>РК 301</t>
  </si>
  <si>
    <t>от региональной автомобильной дороги «Ухта - Усть-Ухта» до полигона строительного мусора</t>
  </si>
  <si>
    <t>РК 302</t>
  </si>
  <si>
    <t>от региональной автомобильной дороги «Ухта - Усть-Ухта» до карьера «Строительное-7»</t>
  </si>
  <si>
    <t>РК 303</t>
  </si>
  <si>
    <t>от региональной автомобильной дороги «Сыктывкар - Ухта - Печора - Усинск - Нарьян-Мар на участке Сыктывкар - Ухта» до местной автомобильной дороги «ул. Промышленная в пст. Чиньяворык»</t>
  </si>
  <si>
    <t>РК 304</t>
  </si>
  <si>
    <t>от местной автомобильной дороги «ул. Промышленная в пст. Чиньяворык» до карьера «Чинья-Ворык»</t>
  </si>
  <si>
    <t>РК 305</t>
  </si>
  <si>
    <t>от местной автомобильной дороги «Промышленная ул.» до карьера «Бельгоп-1»</t>
  </si>
  <si>
    <t>РК 306</t>
  </si>
  <si>
    <t>от региональной автомобильной дороги «Сыктывкар - Ухта - Печора - Усинск - Нарьян-Мар на участке Ухта - Сосногорск» до карьера «Пожня-Ель»</t>
  </si>
  <si>
    <t>РК 307</t>
  </si>
  <si>
    <t>от региональной автомобильной дороги «Сыктывкар – Ухта – Печора – Усинск - Нарьян-Мар (на участке Ухта - Сосногорск)» до полигона ТБО</t>
  </si>
  <si>
    <t>РК 308</t>
  </si>
  <si>
    <t>от региональной автомобильной дороги «Сыктывкар – Ухта – Печора – Усинск– Нарьян – Мар на участке Сыктывкар – Ухта» до базы ООО "Автодор"</t>
  </si>
  <si>
    <t>РК 309</t>
  </si>
  <si>
    <t>от региональной автомобильной дороги «Сыктывкар – Ухта – Печора – Усинск– Нарьян – Мар на участке Сыктывкар – Ухта» до карьера Пригородный 2</t>
  </si>
  <si>
    <t>РК 310</t>
  </si>
  <si>
    <t>от региональной автомобильной дороги «Сыктывкар – Ухта – Печора – Усинск– Нарьян – Мар на участке Сыктывкар – Ухта» до карьеров № 9 и № 11</t>
  </si>
  <si>
    <t>РК 311</t>
  </si>
  <si>
    <t>от региональной автомобильной дороги «Сыктывкар – Ухта – Печора – Усинск– Нарьян – Мар на участке Сыктывкар – Ухта» до карьера Юромка</t>
  </si>
  <si>
    <t>РК 312</t>
  </si>
  <si>
    <t>от местной автомобильной дороги «Обход г. Микунь» до базы ООО "Газпром трансгаз Ухта"</t>
  </si>
  <si>
    <t>РК 313</t>
  </si>
  <si>
    <t>от региональной автомобильной дороги « Вогваздино - Яренск от автомобильной дороги Сыктывкар - Ухта - Печора - Усинск - Нарьян-Мар» до карьера Кырс</t>
  </si>
  <si>
    <t>РК 314</t>
  </si>
  <si>
    <t>от местной автомобильной дороги «ул. Новосельская, г. Микунь» до базы ОАО "РЖД"</t>
  </si>
  <si>
    <t xml:space="preserve"> </t>
  </si>
  <si>
    <t>РК 423</t>
  </si>
  <si>
    <t>от региональной автомобильной дороги «Ухта - Усть Ухта» до ведомственной автомобильной дороги «Проезд вдоль МГ "Бованенко-Ухта" (от КС "Сосногорская" до КС-10 "Ухта")»</t>
  </si>
  <si>
    <t>РК 424</t>
  </si>
  <si>
    <t>от ведомственной автомобильной дороги «Подъездная автодорога к КС (участок автодороги п. Усть-Ухта - п. Четлас) КС «Ухтинская» до ведомственной автомобильной дороги «Вдольтрассовый проезд км 1308,4 - 1310,15 г-да СРТО – Торжок»</t>
  </si>
  <si>
    <t>РК 425</t>
  </si>
  <si>
    <t>от ведомственной автомобильной дороги «Проезд вдоль МГ «Бованенко-Ухта» (от КС «Сосногорская» до КС-10 «Ухта»)» до объекта проектирования у КС 10</t>
  </si>
  <si>
    <t>РК 426</t>
  </si>
  <si>
    <t>от ведомственной автомобильной дороги «Подъездная автодорога к КС (участок автодороги п. Усть-Ухта - п. Четлас) КС «Ухтинская» до объекта проектирования УРГ на км 8,7</t>
  </si>
  <si>
    <t>РК 427</t>
  </si>
  <si>
    <t>от местной дороги "Подъезд к пст Веселый Кут" до объекта проектирования в районе ГРС Веселый Кут</t>
  </si>
  <si>
    <t>РК 428</t>
  </si>
  <si>
    <t>от местной дороги "Промышленная ул в пст. Чиньяворык" до объекта проектирования в районе  ГРС на 77 км</t>
  </si>
  <si>
    <t>РК 429</t>
  </si>
  <si>
    <t>от региональной автомобильной дороги «Сыктывкар - Ухта - Печора - Усинск - Нарьян-Мар на участке Сыктывкар - Ухта» до объекта проектирования РП на км 88,0</t>
  </si>
  <si>
    <t>РК 430.1</t>
  </si>
  <si>
    <t>от ведомственной автомобильной дороги «Подъездная автодорога к КС (участок автодороги п. Усть-Ухта - п. Четлас) КС «Ухтинская» до лесной дороги «Подъезд к трассе МГ 23»</t>
  </si>
  <si>
    <t>РК 430.2</t>
  </si>
  <si>
    <t>от лесной дороги «Подъезд к трассе МГ 37,4» до объекта проектирования в районе ГРС Веселый Кут</t>
  </si>
  <si>
    <t>РК 430.3</t>
  </si>
  <si>
    <t>от объекта проектирования УРГ на км 66,0 до ж.д. пути</t>
  </si>
  <si>
    <t>РК 430.4</t>
  </si>
  <si>
    <t>от ж.д. пути до объекта проектирования РП на км 88,0</t>
  </si>
  <si>
    <t>РК 430.5</t>
  </si>
  <si>
    <t>от региональной автомобильной дороги "Подъезд к пгт Синдор от автомобильной дороги Сыктывкар - Ухта - Печора - Усинск - Нарьян-Мар" до ведомственной автомобильной дороги «Южный подъезд к КС Синдорская КН 11:10:0801001:1243»</t>
  </si>
  <si>
    <t>РК 430.6</t>
  </si>
  <si>
    <t>от объекта проектирования УРГ на км 198,0 до региональной автомобильной дороги «Сыктывкар – Ухта – Печора – Усинск– Нарьян – Мар на участке Сыктывкар – Ухта»</t>
  </si>
  <si>
    <t>РК 430.7</t>
  </si>
  <si>
    <t>от объекта проектирования в районе КС 12 Микунь до объекта проектирования в районе ГРС Жешарт</t>
  </si>
  <si>
    <t>РК 431</t>
  </si>
  <si>
    <t>от региональной автомобильной дороги "Подъезд к пст Иоссер от автомобильной дороги Сыктывкар - Ухта - Печора - Усинск - Нарьян-Мар" до объекта проектирования ПРС-4 Йоссер</t>
  </si>
  <si>
    <t>РК 432</t>
  </si>
  <si>
    <t>от ведомственной автомобильной дороги «Вдольтрассовый проезд СРТО – Торжок» до КС Синдорская</t>
  </si>
  <si>
    <t>РК 433</t>
  </si>
  <si>
    <t>от региональной автомобильной дороги "Сыктывкар – Ухта – Печора – Усинск– Нарьян – Мар на участке Сыктывкар – Ухта км 57+750 – км 246+590" до ведомственной автомобильной дороги «Подъезд к ПРС-6 Тракт»</t>
  </si>
  <si>
    <t>РК 434</t>
  </si>
  <si>
    <t>от ведомственной автомобильной дороги «Подъезд к КУ км 175 (КН 11:10:0801001:432)» до объекта проектирования БКУ на ПРС6- Тракт</t>
  </si>
  <si>
    <t>РК 435</t>
  </si>
  <si>
    <t>от региональной автомобильной дороги "Сыктывкар – Ухта – Печора – Усинск– Нарьян – Мар на участке Сыктывкар – Ухта км 57+750 – км 246+590" до ведомственной автомобильной дороги «Вдольтрассовый проезд СРТО – Торжок»</t>
  </si>
  <si>
    <t>РК 436</t>
  </si>
  <si>
    <t>РК 437</t>
  </si>
  <si>
    <t>от местной автомобильной дороги «Обход г. Микунь» до объекта проектирования ВОЛС в районе КС 12 Микунь</t>
  </si>
  <si>
    <t>РК 438</t>
  </si>
  <si>
    <t>от ведомственной автомобильной дороги «Подъезд к КС Микуньская» до КС12 Микунь</t>
  </si>
  <si>
    <t>РК 439</t>
  </si>
  <si>
    <t>от ведомственной автомобильной дороги «Подъезд к КС Микуньская» до ведомственной автомобильной дороги «Вдольтрассовый проезд СРТО – Торжок»</t>
  </si>
  <si>
    <t>РК 440</t>
  </si>
  <si>
    <t>от региональной автомобильной дороги "Вогваздино - Яренск от автомобильной дороги Сыктывкар - Ухта - Печора - Усинск - Нарьян-Мар" до ГРС Жешард</t>
  </si>
  <si>
    <t>РК 441</t>
  </si>
  <si>
    <t>от ведомственной автомобильной дороги «Подъезд к ГРС Жешарт» до объекта проектирования ПРС-9 Кебырыб</t>
  </si>
  <si>
    <t>РК 442</t>
  </si>
  <si>
    <t>от ведомственной автомобильной дороги «Вдольтрассовый проезд СРТО – Торжок» до объекта проектирования УРГ на км 66,0</t>
  </si>
  <si>
    <t>РК 443</t>
  </si>
  <si>
    <t>от региональной автомобильной дороги «Сыктывкар - Ухта - Печора - Усинск - Нарьян-Мар на участке Сыктывкар - Ухта» до ведомственной автомобильной дороги «Вдольтрассовый проезд СРТО – Торжок»</t>
  </si>
  <si>
    <t>РК 500</t>
  </si>
  <si>
    <t>РК 502</t>
  </si>
  <si>
    <t>от местной автомобильной дороги «Подъезд к пст Веселый Кут» до ведомственной автомобильной дороги «Вдольтрассовый проезд СРТО – Торжок»</t>
  </si>
  <si>
    <t>РК 504</t>
  </si>
  <si>
    <t>от ведомственной автомобильной дороги «Вдольтрассовый проезд СРТО – Торжок» до объекта проектирования БКУ на ПРС</t>
  </si>
  <si>
    <t>РК 505</t>
  </si>
  <si>
    <t>от региональной автомобильной дороги «Айкино - Кослан от автомобильной дороги Вогваздино - Яренск» до карьера Дальний</t>
  </si>
  <si>
    <t>РК 506</t>
  </si>
  <si>
    <t>от региональной автомобильной дороги «Подъезд к пст Донаёль от автомобильной дороги Вогваздино - Яренск» до объекта проектирования УРГ на км 296,6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</si>
</sst>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"/>
  </numFmts>
  <fonts count="8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0" xfId="0" applyFont="1"/>
    <xf numFmtId="0" fontId="4" fillId="0" borderId="1" xfId="0" applyFont="1" applyBorder="1"/>
    <xf numFmtId="1" fontId="4" fillId="0" borderId="1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49" fontId="4" fillId="6" borderId="1" xfId="0" applyNumberFormat="1" applyFont="1" applyFill="1" applyBorder="1" applyAlignment="1" applyProtection="1">
      <alignment horizontal="center" vertical="center" wrapText="1"/>
      <protection locked="0"/>
    </xf>
    <xf numFmtId="1" fontId="4" fillId="6" borderId="1" xfId="0" applyNumberFormat="1" applyFont="1" applyFill="1" applyBorder="1" applyAlignment="1" applyProtection="1">
      <alignment horizontal="center" vertical="center" wrapText="1"/>
      <protection locked="0"/>
    </xf>
    <xf numFmtId="165" fontId="4" fillId="6" borderId="1" xfId="0" applyNumberFormat="1" applyFont="1" applyFill="1" applyBorder="1" applyAlignment="1" applyProtection="1">
      <alignment horizontal="center" vertical="center" wrapText="1"/>
      <protection locked="0"/>
    </xf>
    <xf numFmtId="0" fontId="5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49" fontId="4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5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165" fontId="4" fillId="4" borderId="1" xfId="0" applyNumberFormat="1" applyFont="1" applyFill="1" applyBorder="1" applyAlignment="1" applyProtection="1">
      <alignment horizontal="center" vertical="center" wrapText="1"/>
      <protection locked="0"/>
    </xf>
    <xf numFmtId="1" fontId="4" fillId="4" borderId="1" xfId="0" applyNumberFormat="1" applyFont="1" applyFill="1" applyBorder="1" applyAlignment="1" applyProtection="1">
      <alignment horizontal="center" vertical="center" wrapText="1"/>
      <protection locked="0"/>
    </xf>
    <xf numFmtId="2" fontId="4" fillId="4" borderId="1" xfId="0" applyNumberFormat="1" applyFont="1" applyFill="1" applyBorder="1" applyAlignment="1" applyProtection="1">
      <alignment horizontal="center" vertical="center" wrapText="1"/>
      <protection locked="0"/>
    </xf>
    <xf numFmtId="49" fontId="4" fillId="5" borderId="1" xfId="0" applyNumberFormat="1" applyFont="1" applyFill="1" applyBorder="1" applyAlignment="1" applyProtection="1">
      <alignment horizontal="center" vertical="center" wrapText="1"/>
      <protection locked="0"/>
    </xf>
    <xf numFmtId="1" fontId="4" fillId="5" borderId="1" xfId="0" applyNumberFormat="1" applyFont="1" applyFill="1" applyBorder="1" applyAlignment="1" applyProtection="1">
      <alignment horizontal="center" vertical="center" wrapText="1"/>
      <protection locked="0"/>
    </xf>
    <xf numFmtId="165" fontId="4" fillId="5" borderId="1" xfId="0" applyNumberFormat="1" applyFont="1" applyFill="1" applyBorder="1" applyAlignment="1" applyProtection="1">
      <alignment horizontal="center" vertical="center" wrapText="1"/>
      <protection locked="0"/>
    </xf>
    <xf numFmtId="0" fontId="5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 applyProtection="1">
      <alignment horizontal="center" vertical="center" wrapText="1"/>
      <protection locked="0"/>
    </xf>
    <xf numFmtId="165" fontId="4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5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9" fontId="4" fillId="0" borderId="0" xfId="0" applyNumberFormat="1" applyFont="1"/>
    <xf numFmtId="0" fontId="4" fillId="0" borderId="0" xfId="0" applyFont="1" applyAlignment="1">
      <alignment horizontal="left"/>
    </xf>
    <xf numFmtId="0" fontId="4" fillId="0" borderId="1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49" fontId="2" fillId="7" borderId="1" xfId="0" applyNumberFormat="1" applyFont="1" applyFill="1" applyBorder="1" applyAlignment="1" applyProtection="1">
      <alignment horizontal="center" vertical="center" wrapText="1"/>
      <protection locked="0"/>
    </xf>
    <xf numFmtId="2" fontId="4" fillId="6" borderId="1" xfId="0" applyNumberFormat="1" applyFont="1" applyFill="1" applyBorder="1" applyAlignment="1" applyProtection="1">
      <alignment horizontal="center" vertical="center" wrapText="1"/>
      <protection locked="0"/>
    </xf>
    <xf numFmtId="2" fontId="4" fillId="3" borderId="1" xfId="0" applyNumberFormat="1" applyFont="1" applyFill="1" applyBorder="1" applyAlignment="1" applyProtection="1">
      <alignment horizontal="center" vertical="center" wrapText="1"/>
      <protection locked="0"/>
    </xf>
    <xf numFmtId="2" fontId="4" fillId="5" borderId="1" xfId="0" applyNumberFormat="1" applyFont="1" applyFill="1" applyBorder="1" applyAlignment="1" applyProtection="1">
      <alignment horizontal="center" vertical="center" wrapText="1"/>
      <protection locked="0"/>
    </xf>
    <xf numFmtId="1" fontId="2" fillId="0" borderId="1" xfId="0" applyNumberFormat="1" applyFont="1" applyBorder="1" applyAlignment="1" applyProtection="1">
      <alignment horizontal="center" vertical="center"/>
      <protection locked="0"/>
    </xf>
    <xf numFmtId="164" fontId="4" fillId="6" borderId="1" xfId="0" applyNumberFormat="1" applyFont="1" applyFill="1" applyBorder="1" applyAlignment="1" applyProtection="1">
      <alignment horizontal="center" vertical="center" wrapText="1"/>
      <protection locked="0"/>
    </xf>
    <xf numFmtId="0" fontId="4" fillId="6" borderId="1" xfId="0" applyFont="1" applyFill="1" applyBorder="1" applyAlignment="1">
      <alignment horizontal="left" vertical="center" wrapText="1"/>
    </xf>
    <xf numFmtId="49" fontId="4" fillId="8" borderId="1" xfId="0" applyNumberFormat="1" applyFont="1" applyFill="1" applyBorder="1" applyAlignment="1" applyProtection="1">
      <alignment horizontal="center" vertical="center" wrapText="1"/>
      <protection locked="0"/>
    </xf>
    <xf numFmtId="165" fontId="4" fillId="8" borderId="1" xfId="0" applyNumberFormat="1" applyFont="1" applyFill="1" applyBorder="1" applyAlignment="1" applyProtection="1">
      <alignment horizontal="center" vertical="center" wrapText="1"/>
      <protection locked="0"/>
    </xf>
    <xf numFmtId="0" fontId="4" fillId="8" borderId="1" xfId="0" applyFont="1" applyFill="1" applyBorder="1" applyAlignment="1">
      <alignment horizontal="center" vertical="center"/>
    </xf>
    <xf numFmtId="49" fontId="4" fillId="5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1" fontId="4" fillId="3" borderId="1" xfId="0" applyNumberFormat="1" applyFont="1" applyFill="1" applyBorder="1" applyAlignment="1" applyProtection="1">
      <alignment horizontal="center" vertical="center" wrapText="1"/>
      <protection locked="0"/>
    </xf>
    <xf numFmtId="1" fontId="2" fillId="2" borderId="1" xfId="0" applyNumberFormat="1" applyFont="1" applyFill="1" applyBorder="1" applyAlignment="1" applyProtection="1">
      <alignment horizontal="center" vertical="center"/>
      <protection locked="0"/>
    </xf>
    <xf numFmtId="1" fontId="4" fillId="2" borderId="1" xfId="0" applyNumberFormat="1" applyFont="1" applyFill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 applyProtection="1">
      <alignment horizontal="center" vertical="center" wrapText="1"/>
      <protection locked="0"/>
    </xf>
    <xf numFmtId="1" fontId="4" fillId="2" borderId="1" xfId="0" applyNumberFormat="1" applyFont="1" applyFill="1" applyBorder="1" applyAlignment="1" applyProtection="1">
      <alignment horizontal="center" vertical="center" wrapText="1"/>
      <protection locked="0"/>
    </xf>
    <xf numFmtId="165" fontId="4" fillId="2" borderId="1" xfId="0" applyNumberFormat="1" applyFont="1" applyFill="1" applyBorder="1" applyAlignment="1" applyProtection="1">
      <alignment horizontal="center" vertical="center" wrapText="1"/>
      <protection locked="0"/>
    </xf>
    <xf numFmtId="2" fontId="4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5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 applyProtection="1">
      <alignment horizontal="center" vertical="center"/>
      <protection locked="0"/>
    </xf>
    <xf numFmtId="1" fontId="4" fillId="3" borderId="1" xfId="0" applyNumberFormat="1" applyFont="1" applyFill="1" applyBorder="1" applyAlignment="1" applyProtection="1">
      <alignment horizontal="center" vertical="center"/>
      <protection locked="0"/>
    </xf>
    <xf numFmtId="49" fontId="2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7" fillId="5" borderId="1" xfId="0" applyFont="1" applyFill="1" applyBorder="1" applyAlignment="1">
      <alignment horizontal="center" vertical="center" wrapText="1"/>
    </xf>
    <xf numFmtId="2" fontId="4" fillId="0" borderId="0" xfId="0" applyNumberFormat="1" applyFont="1"/>
    <xf numFmtId="1" fontId="2" fillId="8" borderId="1" xfId="0" applyNumberFormat="1" applyFont="1" applyFill="1" applyBorder="1" applyAlignment="1" applyProtection="1">
      <alignment horizontal="center" vertical="center"/>
      <protection locked="0"/>
    </xf>
    <xf numFmtId="1" fontId="4" fillId="8" borderId="1" xfId="0" applyNumberFormat="1" applyFont="1" applyFill="1" applyBorder="1" applyAlignment="1" applyProtection="1">
      <alignment horizontal="center" vertical="center"/>
      <protection locked="0"/>
    </xf>
    <xf numFmtId="0" fontId="6" fillId="8" borderId="1" xfId="0" applyFont="1" applyFill="1" applyBorder="1" applyAlignment="1">
      <alignment horizontal="center" vertical="center" wrapText="1"/>
    </xf>
    <xf numFmtId="1" fontId="4" fillId="8" borderId="1" xfId="0" applyNumberFormat="1" applyFont="1" applyFill="1" applyBorder="1" applyAlignment="1" applyProtection="1">
      <alignment horizontal="center" vertical="center" wrapText="1"/>
      <protection locked="0"/>
    </xf>
    <xf numFmtId="2" fontId="4" fillId="8" borderId="1" xfId="0" applyNumberFormat="1" applyFont="1" applyFill="1" applyBorder="1" applyAlignment="1" applyProtection="1">
      <alignment horizontal="center" vertical="center" wrapText="1"/>
      <protection locked="0"/>
    </xf>
    <xf numFmtId="0" fontId="5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 wrapText="1"/>
    </xf>
    <xf numFmtId="0" fontId="4" fillId="0" borderId="0" xfId="0" applyFont="1" applyFill="1"/>
    <xf numFmtId="1" fontId="2" fillId="0" borderId="1" xfId="0" applyNumberFormat="1" applyFont="1" applyFill="1" applyBorder="1" applyAlignment="1" applyProtection="1">
      <alignment horizontal="center" vertical="center"/>
      <protection locked="0"/>
    </xf>
    <xf numFmtId="1" fontId="4" fillId="0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 applyProtection="1">
      <alignment horizontal="center" vertical="center" wrapText="1"/>
      <protection locked="0"/>
    </xf>
    <xf numFmtId="1" fontId="4" fillId="0" borderId="1" xfId="0" applyNumberFormat="1" applyFont="1" applyFill="1" applyBorder="1" applyAlignment="1" applyProtection="1">
      <alignment horizontal="center" vertical="center" wrapText="1"/>
      <protection locked="0"/>
    </xf>
    <xf numFmtId="165" fontId="4" fillId="0" borderId="1" xfId="0" applyNumberFormat="1" applyFont="1" applyFill="1" applyBorder="1" applyAlignment="1" applyProtection="1">
      <alignment horizontal="center" vertical="center" wrapText="1"/>
      <protection locked="0"/>
    </xf>
    <xf numFmtId="2" fontId="4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5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64" fontId="4" fillId="0" borderId="0" xfId="0" applyNumberFormat="1" applyFont="1" applyFill="1" applyAlignment="1" applyProtection="1">
      <alignment horizontal="center" vertical="center" wrapText="1"/>
      <protection locked="0"/>
    </xf>
  </cellXfs>
  <cellStyles count="1">
    <cellStyle name="Обычный" xfId="0" builtinId="0"/>
  </cellStyles>
  <dxfs count="14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 patternType="solid">
          <fgColor auto="1"/>
          <bgColor rgb="FFCCFF9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 patternType="solid">
          <fgColor auto="1"/>
          <bgColor rgb="FFCCFF99"/>
        </patternFill>
      </fill>
    </dxf>
    <dxf>
      <fill>
        <patternFill patternType="solid">
          <fgColor indexed="64"/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 patternType="solid">
          <fgColor auto="1"/>
          <bgColor rgb="FFCCFF99"/>
        </patternFill>
      </fill>
    </dxf>
    <dxf>
      <fill>
        <patternFill patternType="solid">
          <fgColor indexed="64"/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auto="1"/>
      </font>
      <fill>
        <patternFill patternType="solid">
          <fgColor auto="1"/>
          <bgColor rgb="FFCCFF99"/>
        </patternFill>
      </fill>
    </dxf>
    <dxf>
      <fill>
        <patternFill patternType="solid">
          <fgColor indexed="64"/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00B0F0"/>
        </patternFill>
      </fill>
    </dxf>
    <dxf>
      <fill>
        <patternFill>
          <fgColor indexed="64"/>
          <bgColor rgb="FFFF99CC"/>
        </patternFill>
      </fill>
    </dxf>
    <dxf>
      <fill>
        <patternFill>
          <fgColor indexed="64"/>
          <bgColor rgb="FF00B050"/>
        </patternFill>
      </fill>
    </dxf>
    <dxf>
      <fill>
        <patternFill>
          <fgColor indexed="64"/>
          <bgColor rgb="FFD0E5C1"/>
        </patternFill>
      </fill>
    </dxf>
    <dxf>
      <fill>
        <patternFill>
          <fgColor indexed="64"/>
          <bgColor theme="4" tint="0.59996337778862885"/>
        </patternFill>
      </fill>
    </dxf>
    <dxf>
      <fill>
        <patternFill>
          <fgColor indexed="64"/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CCECFF"/>
        </patternFill>
      </fill>
    </dxf>
    <dxf>
      <fill>
        <patternFill>
          <bgColor rgb="FFFFCCFF"/>
        </patternFill>
      </fill>
    </dxf>
    <dxf>
      <fill>
        <patternFill>
          <bgColor rgb="FFCCFF99"/>
        </patternFill>
      </fill>
    </dxf>
    <dxf>
      <fill>
        <patternFill>
          <bgColor rgb="FF33CC33"/>
        </patternFill>
      </fill>
    </dxf>
    <dxf>
      <fill>
        <patternFill>
          <bgColor rgb="FF99FF33"/>
        </patternFill>
      </fill>
    </dxf>
    <dxf>
      <fill>
        <patternFill>
          <bgColor rgb="FFCCECFF"/>
        </patternFill>
      </fill>
    </dxf>
    <dxf>
      <fill>
        <patternFill>
          <bgColor rgb="FFFFCCFF"/>
        </patternFill>
      </fill>
    </dxf>
    <dxf>
      <fill>
        <patternFill>
          <bgColor rgb="FFCCFF99"/>
        </patternFill>
      </fill>
    </dxf>
    <dxf>
      <fill>
        <patternFill>
          <bgColor rgb="FF33CC33"/>
        </patternFill>
      </fill>
    </dxf>
    <dxf>
      <fill>
        <patternFill>
          <bgColor rgb="FF99FF33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00B0F0"/>
        </patternFill>
      </fill>
    </dxf>
    <dxf>
      <fill>
        <patternFill>
          <fgColor indexed="64"/>
          <bgColor rgb="FFFF99CC"/>
        </patternFill>
      </fill>
    </dxf>
    <dxf>
      <fill>
        <patternFill>
          <fgColor indexed="64"/>
          <bgColor rgb="FF00B050"/>
        </patternFill>
      </fill>
    </dxf>
    <dxf>
      <fill>
        <patternFill>
          <fgColor indexed="64"/>
          <bgColor rgb="FFD0E5C1"/>
        </patternFill>
      </fill>
    </dxf>
    <dxf>
      <fill>
        <patternFill>
          <fgColor indexed="64"/>
          <bgColor theme="4" tint="0.59996337778862885"/>
        </patternFill>
      </fill>
    </dxf>
    <dxf>
      <fill>
        <patternFill>
          <fgColor indexed="64"/>
          <bgColor theme="7" tint="0.59996337778862885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00B0F0"/>
        </patternFill>
      </fill>
    </dxf>
    <dxf>
      <fill>
        <patternFill>
          <fgColor indexed="64"/>
          <bgColor rgb="FFFF99CC"/>
        </patternFill>
      </fill>
    </dxf>
    <dxf>
      <fill>
        <patternFill>
          <fgColor indexed="64"/>
          <bgColor rgb="FF00B050"/>
        </patternFill>
      </fill>
    </dxf>
    <dxf>
      <fill>
        <patternFill>
          <fgColor indexed="64"/>
          <bgColor rgb="FFD0E5C1"/>
        </patternFill>
      </fill>
    </dxf>
    <dxf>
      <fill>
        <patternFill>
          <fgColor indexed="64"/>
          <bgColor theme="4" tint="0.59996337778862885"/>
        </patternFill>
      </fill>
    </dxf>
    <dxf>
      <fill>
        <patternFill>
          <fgColor indexed="64"/>
          <bgColor theme="7" tint="0.59996337778862885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00B0F0"/>
        </patternFill>
      </fill>
    </dxf>
    <dxf>
      <fill>
        <patternFill>
          <fgColor indexed="64"/>
          <bgColor rgb="FFFF99CC"/>
        </patternFill>
      </fill>
    </dxf>
    <dxf>
      <fill>
        <patternFill>
          <fgColor indexed="64"/>
          <bgColor rgb="FF00B050"/>
        </patternFill>
      </fill>
    </dxf>
    <dxf>
      <fill>
        <patternFill>
          <fgColor indexed="64"/>
          <bgColor rgb="FFD0E5C1"/>
        </patternFill>
      </fill>
    </dxf>
    <dxf>
      <fill>
        <patternFill>
          <fgColor indexed="64"/>
          <bgColor theme="4" tint="0.59996337778862885"/>
        </patternFill>
      </fill>
    </dxf>
    <dxf>
      <fill>
        <patternFill>
          <fgColor indexed="64"/>
          <bgColor theme="7" tint="0.59996337778862885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00B0F0"/>
        </patternFill>
      </fill>
    </dxf>
    <dxf>
      <fill>
        <patternFill>
          <fgColor indexed="64"/>
          <bgColor rgb="FFFF99CC"/>
        </patternFill>
      </fill>
    </dxf>
    <dxf>
      <fill>
        <patternFill>
          <fgColor indexed="64"/>
          <bgColor rgb="FF00B050"/>
        </patternFill>
      </fill>
    </dxf>
    <dxf>
      <fill>
        <patternFill>
          <fgColor indexed="64"/>
          <bgColor rgb="FFD0E5C1"/>
        </patternFill>
      </fill>
    </dxf>
    <dxf>
      <fill>
        <patternFill>
          <fgColor indexed="64"/>
          <bgColor theme="4" tint="0.59996337778862885"/>
        </patternFill>
      </fill>
    </dxf>
    <dxf>
      <fill>
        <patternFill>
          <fgColor indexed="64"/>
          <bgColor theme="7" tint="0.59996337778862885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00B0F0"/>
        </patternFill>
      </fill>
    </dxf>
    <dxf>
      <fill>
        <patternFill>
          <fgColor indexed="64"/>
          <bgColor rgb="FFFF99CC"/>
        </patternFill>
      </fill>
    </dxf>
    <dxf>
      <fill>
        <patternFill>
          <fgColor indexed="64"/>
          <bgColor rgb="FF00B050"/>
        </patternFill>
      </fill>
    </dxf>
    <dxf>
      <fill>
        <patternFill>
          <fgColor indexed="64"/>
          <bgColor rgb="FFD0E5C1"/>
        </patternFill>
      </fill>
    </dxf>
    <dxf>
      <fill>
        <patternFill>
          <fgColor indexed="64"/>
          <bgColor theme="4" tint="0.59996337778862885"/>
        </patternFill>
      </fill>
    </dxf>
    <dxf>
      <fill>
        <patternFill>
          <fgColor indexed="64"/>
          <bgColor theme="7" tint="0.59996337778862885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00B0F0"/>
        </patternFill>
      </fill>
    </dxf>
    <dxf>
      <fill>
        <patternFill>
          <fgColor indexed="64"/>
          <bgColor rgb="FFFF99CC"/>
        </patternFill>
      </fill>
    </dxf>
    <dxf>
      <fill>
        <patternFill>
          <fgColor indexed="64"/>
          <bgColor rgb="FF00B050"/>
        </patternFill>
      </fill>
    </dxf>
    <dxf>
      <fill>
        <patternFill>
          <fgColor indexed="64"/>
          <bgColor rgb="FFD0E5C1"/>
        </patternFill>
      </fill>
    </dxf>
    <dxf>
      <fill>
        <patternFill>
          <fgColor indexed="64"/>
          <bgColor theme="4" tint="0.59996337778862885"/>
        </patternFill>
      </fill>
    </dxf>
    <dxf>
      <fill>
        <patternFill>
          <fgColor indexed="64"/>
          <bgColor theme="7" tint="0.59996337778862885"/>
        </patternFill>
      </fill>
    </dxf>
    <dxf>
      <fill>
        <patternFill>
          <bgColor rgb="FFCCECFF"/>
        </patternFill>
      </fill>
    </dxf>
    <dxf>
      <fill>
        <patternFill>
          <bgColor rgb="FFFFCCFF"/>
        </patternFill>
      </fill>
    </dxf>
    <dxf>
      <fill>
        <patternFill>
          <bgColor rgb="FFCCFF99"/>
        </patternFill>
      </fill>
    </dxf>
    <dxf>
      <fill>
        <patternFill>
          <bgColor rgb="FF33CC33"/>
        </patternFill>
      </fill>
    </dxf>
    <dxf>
      <fill>
        <patternFill>
          <bgColor rgb="FF99FF3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 patternType="solid">
          <fgColor auto="1"/>
          <bgColor rgb="FFCCFF99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</dxfs>
  <tableStyles count="1" defaultTableStyle="TableStyleMedium2" defaultPivotStyle="PivotStyleLight16">
    <tableStyle name="Стиль таблицы 1" pivot="0" count="0"/>
  </tableStyles>
  <colors>
    <mruColors>
      <color rgb="FFCCECFF"/>
      <color rgb="FFCCFF99"/>
      <color rgb="FFFF99FF"/>
      <color rgb="FFFFCC66"/>
      <color rgb="FF95B3D7"/>
      <color rgb="FFFEC434"/>
      <color rgb="FFFFFFCC"/>
      <color rgb="FFFFFF99"/>
      <color rgb="FF99FF33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Z129"/>
  <sheetViews>
    <sheetView tabSelected="1" zoomScale="70" zoomScaleNormal="70" workbookViewId="0">
      <pane ySplit="1" topLeftCell="A2" activePane="bottomLeft" state="frozen"/>
      <selection pane="bottomLeft" activeCell="J6" sqref="J6"/>
    </sheetView>
  </sheetViews>
  <sheetFormatPr defaultColWidth="8.85546875" defaultRowHeight="15" x14ac:dyDescent="0.25"/>
  <cols>
    <col min="1" max="1" width="4.42578125" style="6" customWidth="1"/>
    <col min="2" max="2" width="5.42578125" style="6" customWidth="1"/>
    <col min="3" max="3" width="4.42578125" style="6" customWidth="1"/>
    <col min="4" max="4" width="8.85546875" style="6"/>
    <col min="5" max="5" width="38.85546875" style="6" customWidth="1"/>
    <col min="6" max="6" width="9.28515625" style="6" customWidth="1"/>
    <col min="7" max="7" width="21" style="6" customWidth="1"/>
    <col min="8" max="8" width="27.7109375" style="6" customWidth="1"/>
    <col min="9" max="9" width="19.7109375" style="32" customWidth="1"/>
    <col min="10" max="10" width="62" style="6" customWidth="1"/>
    <col min="11" max="11" width="9.7109375" style="6" customWidth="1"/>
    <col min="12" max="12" width="10.28515625" style="6" customWidth="1"/>
    <col min="13" max="13" width="13.42578125" style="33" customWidth="1"/>
    <col min="14" max="14" width="15.42578125" style="6" customWidth="1"/>
    <col min="15" max="15" width="5.85546875" style="6" customWidth="1"/>
    <col min="16" max="16" width="13.28515625" style="6" customWidth="1"/>
    <col min="17" max="17" width="51.5703125" style="6" customWidth="1"/>
    <col min="18" max="18" width="49.85546875" style="6" customWidth="1"/>
    <col min="19" max="19" width="13.42578125" style="73" customWidth="1"/>
    <col min="20" max="20" width="15.7109375" style="6" customWidth="1"/>
    <col min="21" max="21" width="17.140625" style="6" customWidth="1"/>
    <col min="22" max="23" width="15.7109375" style="6" customWidth="1"/>
    <col min="24" max="24" width="8.85546875" style="75" customWidth="1"/>
    <col min="25" max="25" width="8.85546875" style="75"/>
    <col min="26" max="26" width="16.5703125" style="75" customWidth="1"/>
    <col min="27" max="27" width="10.28515625" style="75" bestFit="1" customWidth="1"/>
    <col min="28" max="16384" width="8.85546875" style="75"/>
  </cols>
  <sheetData>
    <row r="1" spans="1:26" ht="41.25" customHeight="1" x14ac:dyDescent="0.25">
      <c r="D1" s="1" t="s">
        <v>13</v>
      </c>
      <c r="E1" s="1" t="s">
        <v>14</v>
      </c>
      <c r="F1" s="1" t="s">
        <v>3</v>
      </c>
      <c r="G1" s="1" t="s">
        <v>2</v>
      </c>
      <c r="H1" s="3" t="s">
        <v>16</v>
      </c>
      <c r="I1" s="2" t="s">
        <v>18</v>
      </c>
      <c r="J1" s="3" t="s">
        <v>17</v>
      </c>
      <c r="K1" s="1" t="s">
        <v>1</v>
      </c>
      <c r="L1" s="1" t="s">
        <v>7</v>
      </c>
      <c r="M1" s="1" t="s">
        <v>15</v>
      </c>
      <c r="N1" s="1" t="s">
        <v>16</v>
      </c>
      <c r="O1" s="7"/>
      <c r="P1" s="5" t="s">
        <v>26</v>
      </c>
      <c r="Q1" s="4" t="s">
        <v>11</v>
      </c>
      <c r="R1" s="4" t="s">
        <v>12</v>
      </c>
      <c r="T1" s="5" t="s">
        <v>22</v>
      </c>
      <c r="U1" s="5" t="s">
        <v>23</v>
      </c>
      <c r="V1" s="5" t="s">
        <v>24</v>
      </c>
      <c r="W1" s="5" t="s">
        <v>25</v>
      </c>
      <c r="Z1" s="75" t="str">
        <f ca="1">IFERROR(INDIRECT(CONCATENATE(IF(ISBLANK(#REF!),#REF!,#REF!&amp; "."&amp;#REF!),"!O9")), "маршрута нет")</f>
        <v>маршрута нет</v>
      </c>
    </row>
    <row r="2" spans="1:26" ht="80.099999999999994" customHeight="1" x14ac:dyDescent="0.25">
      <c r="A2" s="41" t="s">
        <v>30</v>
      </c>
      <c r="B2" s="41">
        <v>29</v>
      </c>
      <c r="C2" s="8"/>
      <c r="D2" s="37" t="s">
        <v>702</v>
      </c>
      <c r="E2" s="10" t="s">
        <v>701</v>
      </c>
      <c r="F2" s="10" t="s">
        <v>5</v>
      </c>
      <c r="G2" s="10" t="s">
        <v>239</v>
      </c>
      <c r="H2" s="10" t="s">
        <v>31</v>
      </c>
      <c r="I2" s="11">
        <v>10</v>
      </c>
      <c r="J2" s="12" t="s">
        <v>703</v>
      </c>
      <c r="K2" s="12">
        <v>8</v>
      </c>
      <c r="L2" s="38">
        <v>23.45</v>
      </c>
      <c r="M2" s="13" t="s">
        <v>253</v>
      </c>
      <c r="N2" s="14" t="s">
        <v>20</v>
      </c>
      <c r="O2" s="14">
        <v>2</v>
      </c>
      <c r="P2" s="14" t="s">
        <v>27</v>
      </c>
      <c r="Q2" s="43" t="s">
        <v>37</v>
      </c>
      <c r="R2" s="43" t="s">
        <v>254</v>
      </c>
      <c r="T2" s="9" t="s">
        <v>116</v>
      </c>
      <c r="U2" s="9" t="s">
        <v>117</v>
      </c>
      <c r="V2" s="9" t="s">
        <v>118</v>
      </c>
      <c r="W2" s="9" t="s">
        <v>119</v>
      </c>
      <c r="Y2" s="87"/>
    </row>
    <row r="3" spans="1:26" ht="80.099999999999994" customHeight="1" x14ac:dyDescent="0.25">
      <c r="A3" s="41" t="s">
        <v>30</v>
      </c>
      <c r="B3" s="41">
        <v>30</v>
      </c>
      <c r="C3" s="8"/>
      <c r="D3" s="37" t="s">
        <v>704</v>
      </c>
      <c r="E3" s="10" t="s">
        <v>38</v>
      </c>
      <c r="F3" s="10" t="s">
        <v>5</v>
      </c>
      <c r="G3" s="10" t="s">
        <v>239</v>
      </c>
      <c r="H3" s="10" t="s">
        <v>31</v>
      </c>
      <c r="I3" s="11">
        <v>10</v>
      </c>
      <c r="J3" s="12" t="s">
        <v>705</v>
      </c>
      <c r="K3" s="12">
        <v>8</v>
      </c>
      <c r="L3" s="42">
        <v>5.351</v>
      </c>
      <c r="M3" s="13" t="s">
        <v>253</v>
      </c>
      <c r="N3" s="14" t="s">
        <v>20</v>
      </c>
      <c r="O3" s="14">
        <v>2</v>
      </c>
      <c r="P3" s="14" t="s">
        <v>27</v>
      </c>
      <c r="Q3" s="43" t="s">
        <v>39</v>
      </c>
      <c r="R3" s="43" t="s">
        <v>40</v>
      </c>
      <c r="T3" s="9" t="s">
        <v>120</v>
      </c>
      <c r="U3" s="9" t="s">
        <v>121</v>
      </c>
      <c r="V3" s="9" t="s">
        <v>122</v>
      </c>
      <c r="W3" s="9" t="s">
        <v>123</v>
      </c>
      <c r="Y3" s="87"/>
    </row>
    <row r="4" spans="1:26" ht="80.099999999999994" customHeight="1" x14ac:dyDescent="0.25">
      <c r="A4" s="41" t="s">
        <v>30</v>
      </c>
      <c r="B4" s="41">
        <v>31</v>
      </c>
      <c r="C4" s="8"/>
      <c r="D4" s="37" t="s">
        <v>706</v>
      </c>
      <c r="E4" s="10" t="s">
        <v>41</v>
      </c>
      <c r="F4" s="10" t="s">
        <v>5</v>
      </c>
      <c r="G4" s="10" t="s">
        <v>239</v>
      </c>
      <c r="H4" s="10" t="s">
        <v>31</v>
      </c>
      <c r="I4" s="11">
        <v>10</v>
      </c>
      <c r="J4" s="12" t="s">
        <v>707</v>
      </c>
      <c r="K4" s="12">
        <v>6</v>
      </c>
      <c r="L4" s="42">
        <v>1.03</v>
      </c>
      <c r="M4" s="13" t="s">
        <v>253</v>
      </c>
      <c r="N4" s="14" t="s">
        <v>20</v>
      </c>
      <c r="O4" s="14">
        <v>2</v>
      </c>
      <c r="P4" s="14" t="s">
        <v>27</v>
      </c>
      <c r="Q4" s="43" t="s">
        <v>40</v>
      </c>
      <c r="R4" s="43" t="s">
        <v>62</v>
      </c>
      <c r="T4" s="9" t="s">
        <v>124</v>
      </c>
      <c r="U4" s="9" t="s">
        <v>125</v>
      </c>
      <c r="V4" s="9" t="s">
        <v>126</v>
      </c>
      <c r="W4" s="9" t="s">
        <v>127</v>
      </c>
      <c r="Y4" s="87"/>
    </row>
    <row r="5" spans="1:26" ht="80.099999999999994" customHeight="1" x14ac:dyDescent="0.25">
      <c r="A5" s="41" t="s">
        <v>30</v>
      </c>
      <c r="B5" s="41">
        <v>34</v>
      </c>
      <c r="C5" s="8">
        <v>1</v>
      </c>
      <c r="D5" s="37" t="s">
        <v>708</v>
      </c>
      <c r="E5" s="10" t="s">
        <v>43</v>
      </c>
      <c r="F5" s="10" t="s">
        <v>4</v>
      </c>
      <c r="G5" s="10" t="s">
        <v>239</v>
      </c>
      <c r="H5" s="10" t="s">
        <v>31</v>
      </c>
      <c r="I5" s="11">
        <v>10</v>
      </c>
      <c r="J5" s="12" t="s">
        <v>709</v>
      </c>
      <c r="K5" s="12">
        <v>8</v>
      </c>
      <c r="L5" s="38">
        <v>1.74</v>
      </c>
      <c r="M5" s="13" t="s">
        <v>253</v>
      </c>
      <c r="N5" s="14" t="s">
        <v>20</v>
      </c>
      <c r="O5" s="14">
        <v>2</v>
      </c>
      <c r="P5" s="14" t="s">
        <v>27</v>
      </c>
      <c r="Q5" s="10" t="s">
        <v>44</v>
      </c>
      <c r="R5" s="15" t="s">
        <v>36</v>
      </c>
      <c r="T5" s="9" t="s">
        <v>128</v>
      </c>
      <c r="U5" s="9" t="s">
        <v>129</v>
      </c>
      <c r="V5" s="9" t="s">
        <v>130</v>
      </c>
      <c r="W5" s="9" t="s">
        <v>131</v>
      </c>
      <c r="Y5" s="87"/>
    </row>
    <row r="6" spans="1:26" ht="80.099999999999994" customHeight="1" x14ac:dyDescent="0.25">
      <c r="A6" s="41" t="s">
        <v>30</v>
      </c>
      <c r="B6" s="41">
        <v>34</v>
      </c>
      <c r="C6" s="8">
        <v>2</v>
      </c>
      <c r="D6" s="37" t="s">
        <v>710</v>
      </c>
      <c r="E6" s="10" t="s">
        <v>45</v>
      </c>
      <c r="F6" s="10" t="s">
        <v>4</v>
      </c>
      <c r="G6" s="10" t="s">
        <v>239</v>
      </c>
      <c r="H6" s="10" t="s">
        <v>31</v>
      </c>
      <c r="I6" s="11">
        <v>10</v>
      </c>
      <c r="J6" s="12" t="s">
        <v>711</v>
      </c>
      <c r="K6" s="12">
        <v>8</v>
      </c>
      <c r="L6" s="38">
        <v>68.66</v>
      </c>
      <c r="M6" s="13" t="s">
        <v>253</v>
      </c>
      <c r="N6" s="14" t="s">
        <v>20</v>
      </c>
      <c r="O6" s="14">
        <v>2</v>
      </c>
      <c r="P6" s="14" t="s">
        <v>27</v>
      </c>
      <c r="Q6" s="10" t="s">
        <v>46</v>
      </c>
      <c r="R6" s="10" t="s">
        <v>44</v>
      </c>
      <c r="T6" s="9" t="s">
        <v>132</v>
      </c>
      <c r="U6" s="9" t="s">
        <v>133</v>
      </c>
      <c r="V6" s="9" t="s">
        <v>134</v>
      </c>
      <c r="W6" s="9" t="s">
        <v>135</v>
      </c>
      <c r="Y6" s="87"/>
    </row>
    <row r="7" spans="1:26" ht="80.099999999999994" customHeight="1" x14ac:dyDescent="0.25">
      <c r="A7" s="41" t="s">
        <v>30</v>
      </c>
      <c r="B7" s="41">
        <v>34</v>
      </c>
      <c r="C7" s="8">
        <v>3</v>
      </c>
      <c r="D7" s="63" t="s">
        <v>712</v>
      </c>
      <c r="E7" s="10" t="s">
        <v>245</v>
      </c>
      <c r="F7" s="10" t="s">
        <v>4</v>
      </c>
      <c r="G7" s="10" t="s">
        <v>239</v>
      </c>
      <c r="H7" s="10" t="s">
        <v>31</v>
      </c>
      <c r="I7" s="11" t="s">
        <v>246</v>
      </c>
      <c r="J7" s="12" t="s">
        <v>713</v>
      </c>
      <c r="K7" s="12">
        <v>8</v>
      </c>
      <c r="L7" s="38">
        <v>188.6</v>
      </c>
      <c r="M7" s="13" t="s">
        <v>253</v>
      </c>
      <c r="N7" s="14" t="s">
        <v>20</v>
      </c>
      <c r="O7" s="14">
        <v>2</v>
      </c>
      <c r="P7" s="14" t="s">
        <v>27</v>
      </c>
      <c r="Q7" s="10" t="s">
        <v>244</v>
      </c>
      <c r="R7" s="10" t="s">
        <v>243</v>
      </c>
      <c r="T7" s="9" t="s">
        <v>256</v>
      </c>
      <c r="U7" s="9" t="s">
        <v>257</v>
      </c>
      <c r="V7" s="9" t="s">
        <v>258</v>
      </c>
      <c r="W7" s="9" t="s">
        <v>259</v>
      </c>
      <c r="Y7" s="87"/>
    </row>
    <row r="8" spans="1:26" ht="80.099999999999994" customHeight="1" x14ac:dyDescent="0.25">
      <c r="A8" s="41" t="s">
        <v>30</v>
      </c>
      <c r="B8" s="41">
        <v>35</v>
      </c>
      <c r="C8" s="8"/>
      <c r="D8" s="37" t="s">
        <v>714</v>
      </c>
      <c r="E8" s="10" t="s">
        <v>260</v>
      </c>
      <c r="F8" s="10" t="s">
        <v>5</v>
      </c>
      <c r="G8" s="10" t="s">
        <v>239</v>
      </c>
      <c r="H8" s="10" t="s">
        <v>31</v>
      </c>
      <c r="I8" s="11">
        <v>10</v>
      </c>
      <c r="J8" s="12" t="s">
        <v>715</v>
      </c>
      <c r="K8" s="12">
        <v>6</v>
      </c>
      <c r="L8" s="38">
        <v>2.73</v>
      </c>
      <c r="M8" s="13" t="s">
        <v>261</v>
      </c>
      <c r="N8" s="14" t="s">
        <v>20</v>
      </c>
      <c r="O8" s="14">
        <v>2</v>
      </c>
      <c r="P8" s="14" t="s">
        <v>27</v>
      </c>
      <c r="Q8" s="10" t="s">
        <v>88</v>
      </c>
      <c r="R8" s="10" t="s">
        <v>262</v>
      </c>
      <c r="T8" s="9" t="s">
        <v>263</v>
      </c>
      <c r="U8" s="9" t="s">
        <v>264</v>
      </c>
      <c r="V8" s="9" t="s">
        <v>265</v>
      </c>
      <c r="W8" s="9" t="s">
        <v>266</v>
      </c>
      <c r="Y8" s="87"/>
    </row>
    <row r="9" spans="1:26" ht="80.099999999999994" customHeight="1" x14ac:dyDescent="0.25">
      <c r="A9" s="41" t="s">
        <v>30</v>
      </c>
      <c r="B9" s="41">
        <v>36</v>
      </c>
      <c r="C9" s="8"/>
      <c r="D9" s="37" t="s">
        <v>716</v>
      </c>
      <c r="E9" s="10" t="s">
        <v>267</v>
      </c>
      <c r="F9" s="10" t="s">
        <v>5</v>
      </c>
      <c r="G9" s="10" t="s">
        <v>423</v>
      </c>
      <c r="H9" s="10" t="s">
        <v>31</v>
      </c>
      <c r="I9" s="11">
        <v>10</v>
      </c>
      <c r="J9" s="12" t="s">
        <v>717</v>
      </c>
      <c r="K9" s="12" t="s">
        <v>85</v>
      </c>
      <c r="L9" s="38">
        <v>3.55</v>
      </c>
      <c r="M9" s="13" t="s">
        <v>261</v>
      </c>
      <c r="N9" s="14" t="s">
        <v>20</v>
      </c>
      <c r="O9" s="14">
        <v>2</v>
      </c>
      <c r="P9" s="14" t="s">
        <v>27</v>
      </c>
      <c r="Q9" s="10" t="s">
        <v>88</v>
      </c>
      <c r="R9" s="10" t="s">
        <v>268</v>
      </c>
      <c r="T9" s="9" t="s">
        <v>272</v>
      </c>
      <c r="U9" s="9" t="s">
        <v>273</v>
      </c>
      <c r="V9" s="9" t="s">
        <v>274</v>
      </c>
      <c r="W9" s="9" t="s">
        <v>275</v>
      </c>
      <c r="Y9" s="87"/>
    </row>
    <row r="10" spans="1:26" ht="80.099999999999994" customHeight="1" x14ac:dyDescent="0.25">
      <c r="A10" s="41" t="s">
        <v>30</v>
      </c>
      <c r="B10" s="41">
        <v>37</v>
      </c>
      <c r="C10" s="8"/>
      <c r="D10" s="37" t="s">
        <v>718</v>
      </c>
      <c r="E10" s="10" t="s">
        <v>269</v>
      </c>
      <c r="F10" s="10" t="s">
        <v>5</v>
      </c>
      <c r="G10" s="10" t="s">
        <v>239</v>
      </c>
      <c r="H10" s="10" t="s">
        <v>31</v>
      </c>
      <c r="I10" s="11">
        <v>10</v>
      </c>
      <c r="J10" s="12" t="s">
        <v>719</v>
      </c>
      <c r="K10" s="12" t="s">
        <v>235</v>
      </c>
      <c r="L10" s="38">
        <v>2.67</v>
      </c>
      <c r="M10" s="13" t="s">
        <v>261</v>
      </c>
      <c r="N10" s="14" t="s">
        <v>20</v>
      </c>
      <c r="O10" s="14">
        <v>2</v>
      </c>
      <c r="P10" s="14" t="s">
        <v>27</v>
      </c>
      <c r="Q10" s="10" t="s">
        <v>270</v>
      </c>
      <c r="R10" s="10" t="s">
        <v>271</v>
      </c>
      <c r="T10" s="9" t="s">
        <v>274</v>
      </c>
      <c r="U10" s="9" t="s">
        <v>275</v>
      </c>
      <c r="V10" s="9" t="s">
        <v>276</v>
      </c>
      <c r="W10" s="9" t="s">
        <v>277</v>
      </c>
      <c r="Y10" s="87"/>
    </row>
    <row r="11" spans="1:26" ht="80.099999999999994" customHeight="1" x14ac:dyDescent="0.25">
      <c r="A11" s="41" t="s">
        <v>30</v>
      </c>
      <c r="B11" s="41">
        <v>38</v>
      </c>
      <c r="C11" s="8"/>
      <c r="D11" s="37" t="s">
        <v>720</v>
      </c>
      <c r="E11" s="10" t="s">
        <v>278</v>
      </c>
      <c r="F11" s="10" t="s">
        <v>4</v>
      </c>
      <c r="G11" s="10" t="s">
        <v>239</v>
      </c>
      <c r="H11" s="10" t="s">
        <v>31</v>
      </c>
      <c r="I11" s="11">
        <v>10</v>
      </c>
      <c r="J11" s="12" t="s">
        <v>721</v>
      </c>
      <c r="K11" s="12">
        <v>7</v>
      </c>
      <c r="L11" s="38">
        <v>75.5</v>
      </c>
      <c r="M11" s="13" t="s">
        <v>261</v>
      </c>
      <c r="N11" s="14" t="s">
        <v>20</v>
      </c>
      <c r="O11" s="14">
        <v>2</v>
      </c>
      <c r="P11" s="14" t="s">
        <v>27</v>
      </c>
      <c r="Q11" s="10" t="s">
        <v>88</v>
      </c>
      <c r="R11" s="10" t="s">
        <v>283</v>
      </c>
      <c r="T11" s="9" t="s">
        <v>279</v>
      </c>
      <c r="U11" s="9" t="s">
        <v>280</v>
      </c>
      <c r="V11" s="9" t="s">
        <v>281</v>
      </c>
      <c r="W11" s="9" t="s">
        <v>282</v>
      </c>
      <c r="Y11" s="87"/>
    </row>
    <row r="12" spans="1:26" ht="80.099999999999994" customHeight="1" x14ac:dyDescent="0.25">
      <c r="A12" s="41" t="s">
        <v>30</v>
      </c>
      <c r="B12" s="41">
        <v>39</v>
      </c>
      <c r="C12" s="8"/>
      <c r="D12" s="37" t="s">
        <v>722</v>
      </c>
      <c r="E12" s="10" t="s">
        <v>286</v>
      </c>
      <c r="F12" s="10" t="s">
        <v>287</v>
      </c>
      <c r="G12" s="10" t="s">
        <v>429</v>
      </c>
      <c r="H12" s="10" t="s">
        <v>31</v>
      </c>
      <c r="I12" s="11">
        <v>10</v>
      </c>
      <c r="J12" s="12" t="s">
        <v>723</v>
      </c>
      <c r="K12" s="12" t="s">
        <v>700</v>
      </c>
      <c r="L12" s="38">
        <v>15.23</v>
      </c>
      <c r="M12" s="13" t="s">
        <v>261</v>
      </c>
      <c r="N12" s="14" t="s">
        <v>20</v>
      </c>
      <c r="O12" s="14">
        <v>2</v>
      </c>
      <c r="P12" s="14" t="s">
        <v>27</v>
      </c>
      <c r="Q12" s="10" t="s">
        <v>284</v>
      </c>
      <c r="R12" s="10" t="s">
        <v>285</v>
      </c>
      <c r="T12" s="9" t="s">
        <v>288</v>
      </c>
      <c r="U12" s="9" t="s">
        <v>289</v>
      </c>
      <c r="V12" s="9" t="s">
        <v>290</v>
      </c>
      <c r="W12" s="9" t="s">
        <v>291</v>
      </c>
      <c r="Y12" s="87"/>
    </row>
    <row r="13" spans="1:26" ht="80.099999999999994" customHeight="1" x14ac:dyDescent="0.25">
      <c r="A13" s="41" t="s">
        <v>30</v>
      </c>
      <c r="B13" s="41">
        <v>40</v>
      </c>
      <c r="C13" s="8"/>
      <c r="D13" s="37" t="s">
        <v>724</v>
      </c>
      <c r="E13" s="10" t="s">
        <v>294</v>
      </c>
      <c r="F13" s="10" t="s">
        <v>5</v>
      </c>
      <c r="G13" s="10" t="s">
        <v>239</v>
      </c>
      <c r="H13" s="10" t="s">
        <v>31</v>
      </c>
      <c r="I13" s="11">
        <v>10</v>
      </c>
      <c r="J13" s="12" t="s">
        <v>725</v>
      </c>
      <c r="K13" s="12">
        <v>7</v>
      </c>
      <c r="L13" s="38">
        <v>4.3</v>
      </c>
      <c r="M13" s="13" t="s">
        <v>261</v>
      </c>
      <c r="N13" s="14" t="s">
        <v>20</v>
      </c>
      <c r="O13" s="14">
        <v>2</v>
      </c>
      <c r="P13" s="14" t="s">
        <v>27</v>
      </c>
      <c r="Q13" s="10" t="s">
        <v>292</v>
      </c>
      <c r="R13" s="10" t="s">
        <v>293</v>
      </c>
      <c r="T13" s="9" t="s">
        <v>295</v>
      </c>
      <c r="U13" s="9" t="s">
        <v>296</v>
      </c>
      <c r="V13" s="9" t="s">
        <v>297</v>
      </c>
      <c r="W13" s="9" t="s">
        <v>298</v>
      </c>
      <c r="Y13" s="87"/>
    </row>
    <row r="14" spans="1:26" ht="80.099999999999994" customHeight="1" x14ac:dyDescent="0.25">
      <c r="A14" s="41" t="s">
        <v>30</v>
      </c>
      <c r="B14" s="41">
        <v>41</v>
      </c>
      <c r="C14" s="8"/>
      <c r="D14" s="37" t="s">
        <v>726</v>
      </c>
      <c r="E14" s="10" t="s">
        <v>299</v>
      </c>
      <c r="F14" s="10" t="s">
        <v>5</v>
      </c>
      <c r="G14" s="10" t="s">
        <v>239</v>
      </c>
      <c r="H14" s="10" t="s">
        <v>31</v>
      </c>
      <c r="I14" s="11">
        <v>10</v>
      </c>
      <c r="J14" s="12" t="s">
        <v>727</v>
      </c>
      <c r="K14" s="12">
        <v>6</v>
      </c>
      <c r="L14" s="38">
        <v>3.27</v>
      </c>
      <c r="M14" s="13" t="s">
        <v>261</v>
      </c>
      <c r="N14" s="14" t="s">
        <v>20</v>
      </c>
      <c r="O14" s="14">
        <v>2</v>
      </c>
      <c r="P14" s="14" t="s">
        <v>27</v>
      </c>
      <c r="Q14" s="10" t="s">
        <v>284</v>
      </c>
      <c r="R14" s="10" t="s">
        <v>300</v>
      </c>
      <c r="T14" s="9" t="s">
        <v>435</v>
      </c>
      <c r="U14" s="9" t="s">
        <v>436</v>
      </c>
      <c r="V14" s="9" t="s">
        <v>437</v>
      </c>
      <c r="W14" s="9" t="s">
        <v>438</v>
      </c>
      <c r="Y14" s="87"/>
    </row>
    <row r="15" spans="1:26" ht="80.099999999999994" customHeight="1" x14ac:dyDescent="0.25">
      <c r="A15" s="41" t="s">
        <v>30</v>
      </c>
      <c r="B15" s="41">
        <v>42</v>
      </c>
      <c r="C15" s="8"/>
      <c r="D15" s="37" t="s">
        <v>728</v>
      </c>
      <c r="E15" s="10" t="s">
        <v>301</v>
      </c>
      <c r="F15" s="10" t="s">
        <v>5</v>
      </c>
      <c r="G15" s="10" t="s">
        <v>239</v>
      </c>
      <c r="H15" s="10" t="s">
        <v>31</v>
      </c>
      <c r="I15" s="11">
        <v>10</v>
      </c>
      <c r="J15" s="12" t="s">
        <v>727</v>
      </c>
      <c r="K15" s="12">
        <v>5</v>
      </c>
      <c r="L15" s="38">
        <v>1.37</v>
      </c>
      <c r="M15" s="13" t="s">
        <v>261</v>
      </c>
      <c r="N15" s="14" t="s">
        <v>20</v>
      </c>
      <c r="O15" s="14">
        <v>2</v>
      </c>
      <c r="P15" s="14" t="s">
        <v>27</v>
      </c>
      <c r="Q15" s="10" t="s">
        <v>284</v>
      </c>
      <c r="R15" s="10" t="s">
        <v>300</v>
      </c>
      <c r="T15" s="9" t="s">
        <v>439</v>
      </c>
      <c r="U15" s="9" t="s">
        <v>440</v>
      </c>
      <c r="V15" s="9" t="s">
        <v>441</v>
      </c>
      <c r="W15" s="9" t="s">
        <v>442</v>
      </c>
      <c r="Y15" s="87"/>
    </row>
    <row r="16" spans="1:26" ht="80.099999999999994" customHeight="1" x14ac:dyDescent="0.25">
      <c r="A16" s="41" t="s">
        <v>30</v>
      </c>
      <c r="B16" s="41">
        <v>43</v>
      </c>
      <c r="C16" s="8"/>
      <c r="D16" s="37" t="s">
        <v>729</v>
      </c>
      <c r="E16" s="10" t="s">
        <v>303</v>
      </c>
      <c r="F16" s="10" t="s">
        <v>5</v>
      </c>
      <c r="G16" s="10" t="s">
        <v>239</v>
      </c>
      <c r="H16" s="10" t="s">
        <v>31</v>
      </c>
      <c r="I16" s="11">
        <v>10</v>
      </c>
      <c r="J16" s="12" t="s">
        <v>730</v>
      </c>
      <c r="K16" s="12">
        <v>6</v>
      </c>
      <c r="L16" s="38">
        <v>2.5</v>
      </c>
      <c r="M16" s="13" t="s">
        <v>261</v>
      </c>
      <c r="N16" s="14" t="s">
        <v>20</v>
      </c>
      <c r="O16" s="14">
        <v>2</v>
      </c>
      <c r="P16" s="14" t="s">
        <v>27</v>
      </c>
      <c r="Q16" s="10" t="s">
        <v>284</v>
      </c>
      <c r="R16" s="10" t="s">
        <v>302</v>
      </c>
      <c r="T16" s="9" t="s">
        <v>443</v>
      </c>
      <c r="U16" s="9" t="s">
        <v>444</v>
      </c>
      <c r="V16" s="9" t="s">
        <v>445</v>
      </c>
      <c r="W16" s="9" t="s">
        <v>446</v>
      </c>
      <c r="Y16" s="87"/>
    </row>
    <row r="17" spans="1:25" ht="80.099999999999994" customHeight="1" x14ac:dyDescent="0.25">
      <c r="A17" s="41" t="s">
        <v>30</v>
      </c>
      <c r="B17" s="41">
        <v>44</v>
      </c>
      <c r="C17" s="8"/>
      <c r="D17" s="37" t="s">
        <v>731</v>
      </c>
      <c r="E17" s="10" t="s">
        <v>255</v>
      </c>
      <c r="F17" s="10" t="s">
        <v>5</v>
      </c>
      <c r="G17" s="10" t="s">
        <v>9</v>
      </c>
      <c r="H17" s="10" t="s">
        <v>31</v>
      </c>
      <c r="I17" s="11">
        <v>6</v>
      </c>
      <c r="J17" s="12" t="s">
        <v>732</v>
      </c>
      <c r="K17" s="12">
        <v>7</v>
      </c>
      <c r="L17" s="38">
        <v>2.4</v>
      </c>
      <c r="M17" s="13" t="s">
        <v>261</v>
      </c>
      <c r="N17" s="14" t="s">
        <v>20</v>
      </c>
      <c r="O17" s="14">
        <v>2</v>
      </c>
      <c r="P17" s="14" t="s">
        <v>27</v>
      </c>
      <c r="Q17" s="10" t="s">
        <v>284</v>
      </c>
      <c r="R17" s="10" t="s">
        <v>304</v>
      </c>
      <c r="T17" s="9" t="s">
        <v>447</v>
      </c>
      <c r="U17" s="9" t="s">
        <v>448</v>
      </c>
      <c r="V17" s="9" t="s">
        <v>449</v>
      </c>
      <c r="W17" s="9" t="s">
        <v>450</v>
      </c>
      <c r="Y17" s="87"/>
    </row>
    <row r="18" spans="1:25" x14ac:dyDescent="0.25">
      <c r="A18" s="76"/>
      <c r="B18" s="77"/>
      <c r="C18" s="77"/>
      <c r="D18" s="78"/>
      <c r="E18" s="79"/>
      <c r="F18" s="79"/>
      <c r="G18" s="79"/>
      <c r="H18" s="79"/>
      <c r="I18" s="80"/>
      <c r="J18" s="81"/>
      <c r="K18" s="81"/>
      <c r="L18" s="82"/>
      <c r="M18" s="83"/>
      <c r="N18" s="84"/>
      <c r="O18" s="84"/>
      <c r="P18" s="85"/>
      <c r="Q18" s="79"/>
      <c r="R18" s="79"/>
      <c r="S18" s="74"/>
      <c r="T18" s="84"/>
      <c r="U18" s="84"/>
      <c r="V18" s="84"/>
      <c r="W18" s="84"/>
    </row>
    <row r="19" spans="1:25" ht="80.099999999999994" customHeight="1" x14ac:dyDescent="0.25">
      <c r="A19" s="41" t="s">
        <v>30</v>
      </c>
      <c r="B19" s="8">
        <v>130</v>
      </c>
      <c r="C19" s="8"/>
      <c r="D19" s="36" t="s">
        <v>733</v>
      </c>
      <c r="E19" s="16" t="s">
        <v>64</v>
      </c>
      <c r="F19" s="16" t="s">
        <v>65</v>
      </c>
      <c r="G19" s="16" t="s">
        <v>239</v>
      </c>
      <c r="H19" s="16" t="s">
        <v>66</v>
      </c>
      <c r="I19" s="21">
        <v>10</v>
      </c>
      <c r="J19" s="20" t="s">
        <v>734</v>
      </c>
      <c r="K19" s="20" t="s">
        <v>234</v>
      </c>
      <c r="L19" s="22">
        <v>5.87</v>
      </c>
      <c r="M19" s="17" t="s">
        <v>261</v>
      </c>
      <c r="N19" s="18" t="s">
        <v>21</v>
      </c>
      <c r="O19" s="18">
        <v>3</v>
      </c>
      <c r="P19" s="19" t="s">
        <v>27</v>
      </c>
      <c r="Q19" s="16" t="s">
        <v>67</v>
      </c>
      <c r="R19" s="16" t="s">
        <v>68</v>
      </c>
      <c r="S19" s="74"/>
      <c r="T19" s="34" t="s">
        <v>136</v>
      </c>
      <c r="U19" s="9" t="s">
        <v>137</v>
      </c>
      <c r="V19" s="9" t="s">
        <v>138</v>
      </c>
      <c r="W19" s="9" t="s">
        <v>139</v>
      </c>
    </row>
    <row r="20" spans="1:25" ht="80.099999999999994" customHeight="1" x14ac:dyDescent="0.25">
      <c r="A20" s="41" t="s">
        <v>30</v>
      </c>
      <c r="B20" s="8">
        <v>131</v>
      </c>
      <c r="C20" s="8"/>
      <c r="D20" s="36" t="s">
        <v>735</v>
      </c>
      <c r="E20" s="16" t="s">
        <v>50</v>
      </c>
      <c r="F20" s="16" t="s">
        <v>5</v>
      </c>
      <c r="G20" s="16" t="s">
        <v>239</v>
      </c>
      <c r="H20" s="16" t="s">
        <v>66</v>
      </c>
      <c r="I20" s="21">
        <v>10</v>
      </c>
      <c r="J20" s="20" t="s">
        <v>736</v>
      </c>
      <c r="K20" s="20">
        <v>7</v>
      </c>
      <c r="L20" s="22">
        <v>0.48</v>
      </c>
      <c r="M20" s="17" t="s">
        <v>261</v>
      </c>
      <c r="N20" s="18" t="s">
        <v>21</v>
      </c>
      <c r="O20" s="18">
        <v>3</v>
      </c>
      <c r="P20" s="19" t="s">
        <v>27</v>
      </c>
      <c r="Q20" s="16" t="s">
        <v>39</v>
      </c>
      <c r="R20" s="16" t="s">
        <v>69</v>
      </c>
      <c r="S20" s="74"/>
      <c r="T20" s="34" t="s">
        <v>140</v>
      </c>
      <c r="U20" s="9" t="s">
        <v>141</v>
      </c>
      <c r="V20" s="9" t="s">
        <v>142</v>
      </c>
      <c r="W20" s="9" t="s">
        <v>143</v>
      </c>
    </row>
    <row r="21" spans="1:25" ht="80.099999999999994" customHeight="1" x14ac:dyDescent="0.25">
      <c r="A21" s="41" t="s">
        <v>30</v>
      </c>
      <c r="B21" s="8">
        <v>132</v>
      </c>
      <c r="C21" s="8"/>
      <c r="D21" s="36" t="s">
        <v>737</v>
      </c>
      <c r="E21" s="16" t="s">
        <v>51</v>
      </c>
      <c r="F21" s="16" t="s">
        <v>5</v>
      </c>
      <c r="G21" s="16" t="s">
        <v>239</v>
      </c>
      <c r="H21" s="16" t="s">
        <v>66</v>
      </c>
      <c r="I21" s="21">
        <v>10</v>
      </c>
      <c r="J21" s="20" t="s">
        <v>738</v>
      </c>
      <c r="K21" s="20">
        <v>5</v>
      </c>
      <c r="L21" s="22">
        <v>0.16200000000000001</v>
      </c>
      <c r="M21" s="17" t="s">
        <v>261</v>
      </c>
      <c r="N21" s="18" t="s">
        <v>21</v>
      </c>
      <c r="O21" s="18">
        <v>3</v>
      </c>
      <c r="P21" s="19" t="s">
        <v>27</v>
      </c>
      <c r="Q21" s="16" t="s">
        <v>70</v>
      </c>
      <c r="R21" s="16" t="s">
        <v>71</v>
      </c>
      <c r="S21" s="74"/>
      <c r="T21" s="9" t="s">
        <v>142</v>
      </c>
      <c r="U21" s="9" t="s">
        <v>143</v>
      </c>
      <c r="V21" s="34" t="s">
        <v>144</v>
      </c>
      <c r="W21" s="9" t="s">
        <v>145</v>
      </c>
    </row>
    <row r="22" spans="1:25" ht="80.099999999999994" customHeight="1" x14ac:dyDescent="0.25">
      <c r="A22" s="41" t="s">
        <v>30</v>
      </c>
      <c r="B22" s="8">
        <v>133</v>
      </c>
      <c r="C22" s="8"/>
      <c r="D22" s="36" t="s">
        <v>739</v>
      </c>
      <c r="E22" s="16" t="s">
        <v>52</v>
      </c>
      <c r="F22" s="16" t="s">
        <v>5</v>
      </c>
      <c r="G22" s="16" t="s">
        <v>239</v>
      </c>
      <c r="H22" s="16" t="s">
        <v>66</v>
      </c>
      <c r="I22" s="21">
        <v>10</v>
      </c>
      <c r="J22" s="20" t="s">
        <v>740</v>
      </c>
      <c r="K22" s="20" t="s">
        <v>235</v>
      </c>
      <c r="L22" s="22">
        <v>0.97</v>
      </c>
      <c r="M22" s="17" t="s">
        <v>261</v>
      </c>
      <c r="N22" s="18" t="s">
        <v>21</v>
      </c>
      <c r="O22" s="18">
        <v>3</v>
      </c>
      <c r="P22" s="19" t="s">
        <v>27</v>
      </c>
      <c r="Q22" s="16" t="s">
        <v>72</v>
      </c>
      <c r="R22" s="16" t="s">
        <v>39</v>
      </c>
      <c r="S22" s="74"/>
      <c r="T22" s="34" t="s">
        <v>146</v>
      </c>
      <c r="U22" s="9" t="s">
        <v>147</v>
      </c>
      <c r="V22" s="9" t="s">
        <v>148</v>
      </c>
      <c r="W22" s="9" t="s">
        <v>149</v>
      </c>
    </row>
    <row r="23" spans="1:25" ht="80.099999999999994" customHeight="1" x14ac:dyDescent="0.25">
      <c r="A23" s="41" t="s">
        <v>30</v>
      </c>
      <c r="B23" s="8">
        <v>134</v>
      </c>
      <c r="C23" s="8"/>
      <c r="D23" s="36" t="s">
        <v>741</v>
      </c>
      <c r="E23" s="16" t="s">
        <v>49</v>
      </c>
      <c r="F23" s="16" t="s">
        <v>5</v>
      </c>
      <c r="G23" s="16" t="s">
        <v>239</v>
      </c>
      <c r="H23" s="16" t="s">
        <v>66</v>
      </c>
      <c r="I23" s="21">
        <v>10</v>
      </c>
      <c r="J23" s="20" t="s">
        <v>742</v>
      </c>
      <c r="K23" s="20">
        <v>7</v>
      </c>
      <c r="L23" s="22">
        <v>0.1</v>
      </c>
      <c r="M23" s="17" t="s">
        <v>261</v>
      </c>
      <c r="N23" s="18" t="s">
        <v>21</v>
      </c>
      <c r="O23" s="18">
        <v>3</v>
      </c>
      <c r="P23" s="19" t="s">
        <v>27</v>
      </c>
      <c r="Q23" s="16" t="s">
        <v>73</v>
      </c>
      <c r="R23" s="16" t="s">
        <v>39</v>
      </c>
      <c r="S23" s="74"/>
      <c r="T23" s="34" t="s">
        <v>150</v>
      </c>
      <c r="U23" s="9" t="s">
        <v>151</v>
      </c>
      <c r="V23" s="9" t="s">
        <v>152</v>
      </c>
      <c r="W23" s="9" t="s">
        <v>153</v>
      </c>
    </row>
    <row r="24" spans="1:25" ht="80.099999999999994" customHeight="1" x14ac:dyDescent="0.25">
      <c r="A24" s="41" t="s">
        <v>30</v>
      </c>
      <c r="B24" s="8">
        <v>135</v>
      </c>
      <c r="C24" s="8"/>
      <c r="D24" s="36" t="s">
        <v>743</v>
      </c>
      <c r="E24" s="16" t="s">
        <v>74</v>
      </c>
      <c r="F24" s="16" t="s">
        <v>5</v>
      </c>
      <c r="G24" s="16" t="s">
        <v>239</v>
      </c>
      <c r="H24" s="16" t="s">
        <v>66</v>
      </c>
      <c r="I24" s="21">
        <v>10</v>
      </c>
      <c r="J24" s="20" t="s">
        <v>744</v>
      </c>
      <c r="K24" s="20">
        <v>8</v>
      </c>
      <c r="L24" s="22">
        <v>0.42</v>
      </c>
      <c r="M24" s="17" t="s">
        <v>261</v>
      </c>
      <c r="N24" s="18" t="s">
        <v>21</v>
      </c>
      <c r="O24" s="18">
        <v>3</v>
      </c>
      <c r="P24" s="19" t="s">
        <v>27</v>
      </c>
      <c r="Q24" s="16" t="s">
        <v>75</v>
      </c>
      <c r="R24" s="16" t="s">
        <v>80</v>
      </c>
      <c r="S24" s="74"/>
      <c r="T24" s="34" t="s">
        <v>154</v>
      </c>
      <c r="U24" s="9" t="s">
        <v>155</v>
      </c>
      <c r="V24" s="9" t="s">
        <v>156</v>
      </c>
      <c r="W24" s="9" t="s">
        <v>157</v>
      </c>
    </row>
    <row r="25" spans="1:25" ht="80.099999999999994" customHeight="1" x14ac:dyDescent="0.25">
      <c r="A25" s="41" t="s">
        <v>30</v>
      </c>
      <c r="B25" s="8">
        <v>136</v>
      </c>
      <c r="C25" s="8"/>
      <c r="D25" s="36" t="s">
        <v>745</v>
      </c>
      <c r="E25" s="16" t="s">
        <v>53</v>
      </c>
      <c r="F25" s="16" t="s">
        <v>5</v>
      </c>
      <c r="G25" s="16" t="s">
        <v>239</v>
      </c>
      <c r="H25" s="16" t="s">
        <v>66</v>
      </c>
      <c r="I25" s="21">
        <v>10</v>
      </c>
      <c r="J25" s="20" t="s">
        <v>746</v>
      </c>
      <c r="K25" s="20">
        <v>8</v>
      </c>
      <c r="L25" s="22">
        <v>0.59</v>
      </c>
      <c r="M25" s="17" t="s">
        <v>261</v>
      </c>
      <c r="N25" s="18" t="s">
        <v>21</v>
      </c>
      <c r="O25" s="18">
        <v>3</v>
      </c>
      <c r="P25" s="19" t="s">
        <v>27</v>
      </c>
      <c r="Q25" s="16" t="s">
        <v>76</v>
      </c>
      <c r="R25" s="16" t="s">
        <v>77</v>
      </c>
      <c r="S25" s="74"/>
      <c r="T25" s="34" t="s">
        <v>158</v>
      </c>
      <c r="U25" s="9" t="s">
        <v>159</v>
      </c>
      <c r="V25" s="9" t="s">
        <v>160</v>
      </c>
      <c r="W25" s="9" t="s">
        <v>161</v>
      </c>
    </row>
    <row r="26" spans="1:25" ht="80.099999999999994" customHeight="1" x14ac:dyDescent="0.25">
      <c r="A26" s="41" t="s">
        <v>30</v>
      </c>
      <c r="B26" s="8">
        <v>137</v>
      </c>
      <c r="C26" s="8"/>
      <c r="D26" s="36" t="s">
        <v>747</v>
      </c>
      <c r="E26" s="16" t="s">
        <v>54</v>
      </c>
      <c r="F26" s="16" t="s">
        <v>5</v>
      </c>
      <c r="G26" s="16" t="s">
        <v>239</v>
      </c>
      <c r="H26" s="16" t="s">
        <v>66</v>
      </c>
      <c r="I26" s="21">
        <v>10</v>
      </c>
      <c r="J26" s="20" t="s">
        <v>748</v>
      </c>
      <c r="K26" s="20">
        <v>7</v>
      </c>
      <c r="L26" s="20">
        <v>0.3</v>
      </c>
      <c r="M26" s="17" t="s">
        <v>261</v>
      </c>
      <c r="N26" s="18" t="s">
        <v>21</v>
      </c>
      <c r="O26" s="18">
        <v>3</v>
      </c>
      <c r="P26" s="19" t="s">
        <v>27</v>
      </c>
      <c r="Q26" s="16" t="s">
        <v>39</v>
      </c>
      <c r="R26" s="16" t="s">
        <v>78</v>
      </c>
      <c r="S26" s="74"/>
      <c r="T26" s="34" t="s">
        <v>162</v>
      </c>
      <c r="U26" s="9" t="s">
        <v>163</v>
      </c>
      <c r="V26" s="9" t="s">
        <v>164</v>
      </c>
      <c r="W26" s="9" t="s">
        <v>165</v>
      </c>
    </row>
    <row r="27" spans="1:25" ht="80.099999999999994" customHeight="1" x14ac:dyDescent="0.25">
      <c r="A27" s="41" t="s">
        <v>30</v>
      </c>
      <c r="B27" s="8">
        <v>138</v>
      </c>
      <c r="C27" s="8"/>
      <c r="D27" s="36" t="s">
        <v>749</v>
      </c>
      <c r="E27" s="16" t="s">
        <v>55</v>
      </c>
      <c r="F27" s="16" t="s">
        <v>5</v>
      </c>
      <c r="G27" s="16" t="s">
        <v>239</v>
      </c>
      <c r="H27" s="16" t="s">
        <v>66</v>
      </c>
      <c r="I27" s="21">
        <v>10</v>
      </c>
      <c r="J27" s="20" t="s">
        <v>750</v>
      </c>
      <c r="K27" s="20" t="s">
        <v>236</v>
      </c>
      <c r="L27" s="20">
        <v>3.9</v>
      </c>
      <c r="M27" s="17" t="s">
        <v>261</v>
      </c>
      <c r="N27" s="18" t="s">
        <v>21</v>
      </c>
      <c r="O27" s="18">
        <v>3</v>
      </c>
      <c r="P27" s="19" t="s">
        <v>27</v>
      </c>
      <c r="Q27" s="16" t="s">
        <v>77</v>
      </c>
      <c r="R27" s="16" t="s">
        <v>79</v>
      </c>
      <c r="S27" s="74"/>
      <c r="T27" s="34" t="s">
        <v>166</v>
      </c>
      <c r="U27" s="9" t="s">
        <v>167</v>
      </c>
      <c r="V27" s="9" t="s">
        <v>168</v>
      </c>
      <c r="W27" s="9" t="s">
        <v>169</v>
      </c>
    </row>
    <row r="28" spans="1:25" ht="80.099999999999994" customHeight="1" x14ac:dyDescent="0.25">
      <c r="A28" s="41" t="s">
        <v>30</v>
      </c>
      <c r="B28" s="8">
        <v>139</v>
      </c>
      <c r="C28" s="8"/>
      <c r="D28" s="36" t="s">
        <v>751</v>
      </c>
      <c r="E28" s="16" t="s">
        <v>56</v>
      </c>
      <c r="F28" s="16" t="s">
        <v>5</v>
      </c>
      <c r="G28" s="16" t="s">
        <v>239</v>
      </c>
      <c r="H28" s="16" t="s">
        <v>66</v>
      </c>
      <c r="I28" s="21">
        <v>10</v>
      </c>
      <c r="J28" s="20" t="s">
        <v>752</v>
      </c>
      <c r="K28" s="20">
        <v>7</v>
      </c>
      <c r="L28" s="22">
        <v>7.0000000000000007E-2</v>
      </c>
      <c r="M28" s="17" t="s">
        <v>261</v>
      </c>
      <c r="N28" s="18" t="s">
        <v>21</v>
      </c>
      <c r="O28" s="18">
        <v>3</v>
      </c>
      <c r="P28" s="19" t="s">
        <v>27</v>
      </c>
      <c r="Q28" s="16" t="s">
        <v>73</v>
      </c>
      <c r="R28" s="16" t="s">
        <v>81</v>
      </c>
      <c r="S28" s="74"/>
      <c r="T28" s="34" t="s">
        <v>170</v>
      </c>
      <c r="U28" s="9" t="s">
        <v>171</v>
      </c>
      <c r="V28" s="9" t="s">
        <v>172</v>
      </c>
      <c r="W28" s="9" t="s">
        <v>173</v>
      </c>
    </row>
    <row r="29" spans="1:25" ht="80.099999999999994" customHeight="1" x14ac:dyDescent="0.25">
      <c r="A29" s="41" t="s">
        <v>30</v>
      </c>
      <c r="B29" s="8">
        <v>140</v>
      </c>
      <c r="C29" s="8"/>
      <c r="D29" s="36" t="s">
        <v>753</v>
      </c>
      <c r="E29" s="16" t="s">
        <v>57</v>
      </c>
      <c r="F29" s="16" t="s">
        <v>8</v>
      </c>
      <c r="G29" s="16" t="s">
        <v>9</v>
      </c>
      <c r="H29" s="16" t="s">
        <v>66</v>
      </c>
      <c r="I29" s="21">
        <v>10</v>
      </c>
      <c r="J29" s="20" t="s">
        <v>754</v>
      </c>
      <c r="K29" s="20">
        <v>5</v>
      </c>
      <c r="L29" s="20">
        <v>0.3</v>
      </c>
      <c r="M29" s="17" t="s">
        <v>261</v>
      </c>
      <c r="N29" s="18" t="s">
        <v>21</v>
      </c>
      <c r="O29" s="18">
        <v>3</v>
      </c>
      <c r="P29" s="19" t="s">
        <v>27</v>
      </c>
      <c r="Q29" s="16" t="s">
        <v>73</v>
      </c>
      <c r="R29" s="16" t="s">
        <v>48</v>
      </c>
      <c r="S29" s="74"/>
      <c r="T29" s="34" t="s">
        <v>174</v>
      </c>
      <c r="U29" s="9" t="s">
        <v>175</v>
      </c>
      <c r="V29" s="9" t="s">
        <v>176</v>
      </c>
      <c r="W29" s="9" t="s">
        <v>177</v>
      </c>
    </row>
    <row r="30" spans="1:25" ht="80.099999999999994" customHeight="1" x14ac:dyDescent="0.25">
      <c r="A30" s="41" t="s">
        <v>30</v>
      </c>
      <c r="B30" s="8">
        <v>141</v>
      </c>
      <c r="C30" s="8"/>
      <c r="D30" s="36" t="s">
        <v>755</v>
      </c>
      <c r="E30" s="16" t="s">
        <v>58</v>
      </c>
      <c r="F30" s="16" t="s">
        <v>5</v>
      </c>
      <c r="G30" s="16" t="s">
        <v>239</v>
      </c>
      <c r="H30" s="16" t="s">
        <v>66</v>
      </c>
      <c r="I30" s="21">
        <v>10</v>
      </c>
      <c r="J30" s="20" t="s">
        <v>756</v>
      </c>
      <c r="K30" s="20">
        <v>6</v>
      </c>
      <c r="L30" s="22">
        <v>0.39</v>
      </c>
      <c r="M30" s="17" t="s">
        <v>261</v>
      </c>
      <c r="N30" s="18" t="s">
        <v>21</v>
      </c>
      <c r="O30" s="18">
        <v>3</v>
      </c>
      <c r="P30" s="19" t="s">
        <v>27</v>
      </c>
      <c r="Q30" s="16" t="s">
        <v>73</v>
      </c>
      <c r="R30" s="16" t="s">
        <v>82</v>
      </c>
      <c r="S30" s="74"/>
      <c r="T30" s="34" t="s">
        <v>178</v>
      </c>
      <c r="U30" s="9" t="s">
        <v>179</v>
      </c>
      <c r="V30" s="9" t="s">
        <v>180</v>
      </c>
      <c r="W30" s="9" t="s">
        <v>181</v>
      </c>
    </row>
    <row r="31" spans="1:25" ht="80.099999999999994" customHeight="1" x14ac:dyDescent="0.25">
      <c r="A31" s="41" t="s">
        <v>30</v>
      </c>
      <c r="B31" s="8">
        <v>142</v>
      </c>
      <c r="C31" s="8"/>
      <c r="D31" s="36" t="s">
        <v>757</v>
      </c>
      <c r="E31" s="16" t="s">
        <v>86</v>
      </c>
      <c r="F31" s="16" t="s">
        <v>5</v>
      </c>
      <c r="G31" s="16" t="s">
        <v>237</v>
      </c>
      <c r="H31" s="16" t="s">
        <v>66</v>
      </c>
      <c r="I31" s="21">
        <v>10</v>
      </c>
      <c r="J31" s="20" t="s">
        <v>758</v>
      </c>
      <c r="K31" s="20" t="s">
        <v>235</v>
      </c>
      <c r="L31" s="22">
        <v>3.36</v>
      </c>
      <c r="M31" s="17" t="s">
        <v>261</v>
      </c>
      <c r="N31" s="18" t="s">
        <v>21</v>
      </c>
      <c r="O31" s="18">
        <v>3</v>
      </c>
      <c r="P31" s="19" t="s">
        <v>27</v>
      </c>
      <c r="Q31" s="16" t="s">
        <v>73</v>
      </c>
      <c r="R31" s="16" t="s">
        <v>84</v>
      </c>
      <c r="S31" s="74"/>
      <c r="T31" s="34" t="s">
        <v>182</v>
      </c>
      <c r="U31" s="9" t="s">
        <v>183</v>
      </c>
      <c r="V31" s="9" t="s">
        <v>184</v>
      </c>
      <c r="W31" s="9" t="s">
        <v>185</v>
      </c>
    </row>
    <row r="32" spans="1:25" ht="80.099999999999994" customHeight="1" x14ac:dyDescent="0.25">
      <c r="A32" s="41" t="s">
        <v>30</v>
      </c>
      <c r="B32" s="8">
        <v>143</v>
      </c>
      <c r="C32" s="8"/>
      <c r="D32" s="36" t="s">
        <v>759</v>
      </c>
      <c r="E32" s="16" t="s">
        <v>59</v>
      </c>
      <c r="F32" s="16" t="s">
        <v>5</v>
      </c>
      <c r="G32" s="16" t="s">
        <v>238</v>
      </c>
      <c r="H32" s="16" t="s">
        <v>66</v>
      </c>
      <c r="I32" s="21">
        <v>10</v>
      </c>
      <c r="J32" s="20" t="s">
        <v>760</v>
      </c>
      <c r="K32" s="20" t="s">
        <v>85</v>
      </c>
      <c r="L32" s="22">
        <v>3.5910000000000002</v>
      </c>
      <c r="M32" s="17" t="s">
        <v>253</v>
      </c>
      <c r="N32" s="18" t="s">
        <v>21</v>
      </c>
      <c r="O32" s="18">
        <v>3</v>
      </c>
      <c r="P32" s="19" t="s">
        <v>27</v>
      </c>
      <c r="Q32" s="16" t="s">
        <v>36</v>
      </c>
      <c r="R32" s="16" t="s">
        <v>87</v>
      </c>
      <c r="S32" s="74"/>
      <c r="T32" s="34" t="s">
        <v>186</v>
      </c>
      <c r="U32" s="9" t="s">
        <v>187</v>
      </c>
      <c r="V32" s="9" t="s">
        <v>188</v>
      </c>
      <c r="W32" s="9" t="s">
        <v>189</v>
      </c>
    </row>
    <row r="33" spans="1:23" ht="80.099999999999994" customHeight="1" x14ac:dyDescent="0.25">
      <c r="A33" s="41" t="s">
        <v>30</v>
      </c>
      <c r="B33" s="8">
        <v>144</v>
      </c>
      <c r="C33" s="8"/>
      <c r="D33" s="36" t="s">
        <v>761</v>
      </c>
      <c r="E33" s="16" t="s">
        <v>60</v>
      </c>
      <c r="F33" s="16" t="s">
        <v>5</v>
      </c>
      <c r="G33" s="16" t="s">
        <v>239</v>
      </c>
      <c r="H33" s="16" t="s">
        <v>66</v>
      </c>
      <c r="I33" s="21">
        <v>10</v>
      </c>
      <c r="J33" s="20" t="s">
        <v>762</v>
      </c>
      <c r="K33" s="20">
        <v>7</v>
      </c>
      <c r="L33" s="22">
        <v>1.92</v>
      </c>
      <c r="M33" s="17" t="s">
        <v>261</v>
      </c>
      <c r="N33" s="18" t="s">
        <v>21</v>
      </c>
      <c r="O33" s="18">
        <v>3</v>
      </c>
      <c r="P33" s="19" t="s">
        <v>27</v>
      </c>
      <c r="Q33" s="16" t="s">
        <v>87</v>
      </c>
      <c r="R33" s="16" t="s">
        <v>71</v>
      </c>
      <c r="S33" s="74"/>
      <c r="T33" s="34" t="s">
        <v>190</v>
      </c>
      <c r="U33" s="9" t="s">
        <v>191</v>
      </c>
      <c r="V33" s="9" t="s">
        <v>192</v>
      </c>
      <c r="W33" s="9" t="s">
        <v>193</v>
      </c>
    </row>
    <row r="34" spans="1:23" ht="80.099999999999994" customHeight="1" x14ac:dyDescent="0.25">
      <c r="A34" s="41" t="s">
        <v>30</v>
      </c>
      <c r="B34" s="8">
        <v>145</v>
      </c>
      <c r="C34" s="8"/>
      <c r="D34" s="36" t="s">
        <v>763</v>
      </c>
      <c r="E34" s="16" t="s">
        <v>61</v>
      </c>
      <c r="F34" s="16" t="s">
        <v>5</v>
      </c>
      <c r="G34" s="16" t="s">
        <v>239</v>
      </c>
      <c r="H34" s="16" t="s">
        <v>66</v>
      </c>
      <c r="I34" s="21">
        <v>10</v>
      </c>
      <c r="J34" s="20" t="s">
        <v>764</v>
      </c>
      <c r="K34" s="20">
        <v>8.5</v>
      </c>
      <c r="L34" s="22">
        <v>0.46</v>
      </c>
      <c r="M34" s="17" t="s">
        <v>253</v>
      </c>
      <c r="N34" s="18" t="s">
        <v>21</v>
      </c>
      <c r="O34" s="18">
        <v>3</v>
      </c>
      <c r="P34" s="19" t="s">
        <v>27</v>
      </c>
      <c r="Q34" s="16" t="s">
        <v>88</v>
      </c>
      <c r="R34" s="16" t="s">
        <v>88</v>
      </c>
      <c r="S34" s="74"/>
      <c r="T34" s="34" t="s">
        <v>194</v>
      </c>
      <c r="U34" s="9" t="s">
        <v>195</v>
      </c>
      <c r="V34" s="9" t="s">
        <v>196</v>
      </c>
      <c r="W34" s="9" t="s">
        <v>197</v>
      </c>
    </row>
    <row r="35" spans="1:23" ht="80.099999999999994" customHeight="1" x14ac:dyDescent="0.25">
      <c r="A35" s="41" t="s">
        <v>30</v>
      </c>
      <c r="B35" s="8">
        <v>146</v>
      </c>
      <c r="C35" s="8"/>
      <c r="D35" s="64" t="s">
        <v>765</v>
      </c>
      <c r="E35" s="16" t="s">
        <v>241</v>
      </c>
      <c r="F35" s="16" t="s">
        <v>8</v>
      </c>
      <c r="G35" s="16" t="s">
        <v>239</v>
      </c>
      <c r="H35" s="16" t="s">
        <v>66</v>
      </c>
      <c r="I35" s="21">
        <v>10</v>
      </c>
      <c r="J35" s="20" t="s">
        <v>766</v>
      </c>
      <c r="K35" s="20">
        <v>6</v>
      </c>
      <c r="L35" s="22">
        <v>3.11</v>
      </c>
      <c r="M35" s="17" t="s">
        <v>253</v>
      </c>
      <c r="N35" s="18" t="s">
        <v>21</v>
      </c>
      <c r="O35" s="18">
        <v>3</v>
      </c>
      <c r="P35" s="19" t="s">
        <v>27</v>
      </c>
      <c r="Q35" s="16" t="s">
        <v>88</v>
      </c>
      <c r="R35" s="16" t="s">
        <v>247</v>
      </c>
      <c r="S35" s="74"/>
      <c r="T35" s="34" t="s">
        <v>451</v>
      </c>
      <c r="U35" s="9" t="s">
        <v>452</v>
      </c>
      <c r="V35" s="9" t="s">
        <v>453</v>
      </c>
      <c r="W35" s="9" t="s">
        <v>454</v>
      </c>
    </row>
    <row r="36" spans="1:23" ht="60" x14ac:dyDescent="0.25">
      <c r="A36" s="41" t="s">
        <v>30</v>
      </c>
      <c r="B36" s="8">
        <v>147</v>
      </c>
      <c r="C36" s="8"/>
      <c r="D36" s="36" t="s">
        <v>767</v>
      </c>
      <c r="E36" s="16" t="s">
        <v>344</v>
      </c>
      <c r="F36" s="16" t="s">
        <v>5</v>
      </c>
      <c r="G36" s="16" t="s">
        <v>239</v>
      </c>
      <c r="H36" s="16" t="s">
        <v>66</v>
      </c>
      <c r="I36" s="21">
        <v>10</v>
      </c>
      <c r="J36" s="20" t="s">
        <v>768</v>
      </c>
      <c r="K36" s="20">
        <v>6</v>
      </c>
      <c r="L36" s="22">
        <v>10.48</v>
      </c>
      <c r="M36" s="17" t="s">
        <v>261</v>
      </c>
      <c r="N36" s="18" t="s">
        <v>21</v>
      </c>
      <c r="O36" s="18">
        <v>3</v>
      </c>
      <c r="P36" s="19" t="s">
        <v>27</v>
      </c>
      <c r="Q36" s="16" t="s">
        <v>88</v>
      </c>
      <c r="R36" s="16" t="s">
        <v>347</v>
      </c>
      <c r="S36" s="74"/>
      <c r="T36" s="9" t="s">
        <v>455</v>
      </c>
      <c r="U36" s="9" t="s">
        <v>456</v>
      </c>
      <c r="V36" s="9" t="s">
        <v>457</v>
      </c>
      <c r="W36" s="9" t="s">
        <v>458</v>
      </c>
    </row>
    <row r="37" spans="1:23" ht="45" x14ac:dyDescent="0.25">
      <c r="A37" s="41" t="s">
        <v>30</v>
      </c>
      <c r="B37" s="8">
        <v>148</v>
      </c>
      <c r="C37" s="8"/>
      <c r="D37" s="36" t="s">
        <v>769</v>
      </c>
      <c r="E37" s="16" t="s">
        <v>345</v>
      </c>
      <c r="F37" s="16" t="s">
        <v>5</v>
      </c>
      <c r="G37" s="16" t="s">
        <v>9</v>
      </c>
      <c r="H37" s="16" t="s">
        <v>66</v>
      </c>
      <c r="I37" s="21">
        <v>10</v>
      </c>
      <c r="J37" s="20" t="s">
        <v>770</v>
      </c>
      <c r="K37" s="20">
        <v>11</v>
      </c>
      <c r="L37" s="22">
        <v>0.59</v>
      </c>
      <c r="M37" s="17" t="s">
        <v>261</v>
      </c>
      <c r="N37" s="18" t="s">
        <v>21</v>
      </c>
      <c r="O37" s="18">
        <v>3</v>
      </c>
      <c r="P37" s="19" t="s">
        <v>27</v>
      </c>
      <c r="Q37" s="16" t="s">
        <v>348</v>
      </c>
      <c r="R37" s="16" t="s">
        <v>349</v>
      </c>
      <c r="S37" s="74"/>
      <c r="T37" s="9" t="s">
        <v>459</v>
      </c>
      <c r="U37" s="9" t="s">
        <v>460</v>
      </c>
      <c r="V37" s="9" t="s">
        <v>461</v>
      </c>
      <c r="W37" s="9" t="s">
        <v>462</v>
      </c>
    </row>
    <row r="38" spans="1:23" ht="45" x14ac:dyDescent="0.25">
      <c r="A38" s="41" t="s">
        <v>30</v>
      </c>
      <c r="B38" s="8">
        <v>149</v>
      </c>
      <c r="C38" s="8"/>
      <c r="D38" s="36" t="s">
        <v>771</v>
      </c>
      <c r="E38" s="16" t="s">
        <v>346</v>
      </c>
      <c r="F38" s="16" t="s">
        <v>5</v>
      </c>
      <c r="G38" s="16" t="s">
        <v>239</v>
      </c>
      <c r="H38" s="16" t="s">
        <v>66</v>
      </c>
      <c r="I38" s="21">
        <v>10</v>
      </c>
      <c r="J38" s="20" t="s">
        <v>772</v>
      </c>
      <c r="K38" s="20">
        <v>5</v>
      </c>
      <c r="L38" s="22">
        <v>0.09</v>
      </c>
      <c r="M38" s="17" t="s">
        <v>261</v>
      </c>
      <c r="N38" s="18" t="s">
        <v>21</v>
      </c>
      <c r="O38" s="18">
        <v>3</v>
      </c>
      <c r="P38" s="19" t="s">
        <v>27</v>
      </c>
      <c r="Q38" s="16" t="s">
        <v>347</v>
      </c>
      <c r="R38" s="16" t="s">
        <v>350</v>
      </c>
      <c r="S38" s="74"/>
      <c r="T38" s="9" t="s">
        <v>461</v>
      </c>
      <c r="U38" s="9" t="s">
        <v>462</v>
      </c>
      <c r="V38" s="9" t="s">
        <v>463</v>
      </c>
      <c r="W38" s="9" t="s">
        <v>464</v>
      </c>
    </row>
    <row r="39" spans="1:23" x14ac:dyDescent="0.25">
      <c r="A39" s="76"/>
      <c r="B39" s="77"/>
      <c r="C39" s="77"/>
      <c r="D39" s="78"/>
      <c r="E39" s="79"/>
      <c r="F39" s="79"/>
      <c r="G39" s="79"/>
      <c r="H39" s="79"/>
      <c r="I39" s="80"/>
      <c r="J39" s="81"/>
      <c r="K39" s="81"/>
      <c r="L39" s="82"/>
      <c r="M39" s="83"/>
      <c r="N39" s="84"/>
      <c r="O39" s="84"/>
      <c r="P39" s="85"/>
      <c r="Q39" s="79"/>
      <c r="R39" s="79"/>
      <c r="S39" s="74"/>
      <c r="T39" s="84"/>
      <c r="U39" s="84"/>
      <c r="V39" s="84"/>
      <c r="W39" s="84"/>
    </row>
    <row r="40" spans="1:23" ht="60" x14ac:dyDescent="0.25">
      <c r="A40" s="41" t="s">
        <v>30</v>
      </c>
      <c r="B40" s="8">
        <v>151</v>
      </c>
      <c r="C40" s="8"/>
      <c r="D40" s="36" t="s">
        <v>773</v>
      </c>
      <c r="E40" s="16" t="s">
        <v>427</v>
      </c>
      <c r="F40" s="16" t="s">
        <v>5</v>
      </c>
      <c r="G40" s="16" t="s">
        <v>239</v>
      </c>
      <c r="H40" s="16" t="s">
        <v>406</v>
      </c>
      <c r="I40" s="21">
        <v>10</v>
      </c>
      <c r="J40" s="20" t="s">
        <v>774</v>
      </c>
      <c r="K40" s="20">
        <v>6</v>
      </c>
      <c r="L40" s="20">
        <v>1.2</v>
      </c>
      <c r="M40" s="17" t="s">
        <v>261</v>
      </c>
      <c r="N40" s="18" t="s">
        <v>21</v>
      </c>
      <c r="O40" s="18">
        <v>3</v>
      </c>
      <c r="P40" s="19" t="s">
        <v>27</v>
      </c>
      <c r="Q40" s="16" t="s">
        <v>36</v>
      </c>
      <c r="R40" s="16" t="s">
        <v>428</v>
      </c>
      <c r="S40" s="74"/>
      <c r="T40" s="9" t="s">
        <v>465</v>
      </c>
      <c r="U40" s="9" t="s">
        <v>466</v>
      </c>
      <c r="V40" s="9" t="s">
        <v>467</v>
      </c>
      <c r="W40" s="9" t="s">
        <v>468</v>
      </c>
    </row>
    <row r="41" spans="1:23" x14ac:dyDescent="0.25">
      <c r="A41" s="76"/>
      <c r="B41" s="77"/>
      <c r="C41" s="77"/>
      <c r="D41" s="78"/>
      <c r="E41" s="79"/>
      <c r="F41" s="79"/>
      <c r="G41" s="79"/>
      <c r="H41" s="79"/>
      <c r="I41" s="80"/>
      <c r="J41" s="81"/>
      <c r="K41" s="81"/>
      <c r="L41" s="82"/>
      <c r="M41" s="83"/>
      <c r="N41" s="84"/>
      <c r="O41" s="84"/>
      <c r="P41" s="85"/>
      <c r="Q41" s="79"/>
      <c r="R41" s="79"/>
      <c r="S41" s="74"/>
      <c r="T41" s="84"/>
      <c r="U41" s="84"/>
      <c r="V41" s="84"/>
      <c r="W41" s="84"/>
    </row>
    <row r="42" spans="1:23" ht="80.099999999999994" customHeight="1" x14ac:dyDescent="0.25">
      <c r="A42" s="41" t="s">
        <v>30</v>
      </c>
      <c r="B42" s="8">
        <v>155</v>
      </c>
      <c r="C42" s="8"/>
      <c r="D42" s="36" t="s">
        <v>775</v>
      </c>
      <c r="E42" s="16" t="s">
        <v>63</v>
      </c>
      <c r="F42" s="16" t="s">
        <v>5</v>
      </c>
      <c r="G42" s="16" t="s">
        <v>9</v>
      </c>
      <c r="H42" s="16" t="s">
        <v>405</v>
      </c>
      <c r="I42" s="21">
        <v>10</v>
      </c>
      <c r="J42" s="20" t="s">
        <v>776</v>
      </c>
      <c r="K42" s="20">
        <v>13.5</v>
      </c>
      <c r="L42" s="20">
        <v>1.3</v>
      </c>
      <c r="M42" s="17" t="s">
        <v>261</v>
      </c>
      <c r="N42" s="18" t="s">
        <v>21</v>
      </c>
      <c r="O42" s="18">
        <v>3</v>
      </c>
      <c r="P42" s="19" t="s">
        <v>27</v>
      </c>
      <c r="Q42" s="16" t="s">
        <v>89</v>
      </c>
      <c r="R42" s="16" t="s">
        <v>89</v>
      </c>
      <c r="S42" s="74"/>
      <c r="T42" s="34" t="s">
        <v>198</v>
      </c>
      <c r="U42" s="9" t="s">
        <v>199</v>
      </c>
      <c r="V42" s="9" t="s">
        <v>200</v>
      </c>
      <c r="W42" s="9" t="s">
        <v>201</v>
      </c>
    </row>
    <row r="43" spans="1:23" ht="80.099999999999994" customHeight="1" x14ac:dyDescent="0.25">
      <c r="A43" s="41" t="s">
        <v>30</v>
      </c>
      <c r="B43" s="8">
        <v>156</v>
      </c>
      <c r="C43" s="8"/>
      <c r="D43" s="36" t="s">
        <v>777</v>
      </c>
      <c r="E43" s="16" t="s">
        <v>351</v>
      </c>
      <c r="F43" s="16" t="s">
        <v>29</v>
      </c>
      <c r="G43" s="16" t="s">
        <v>6</v>
      </c>
      <c r="H43" s="16" t="s">
        <v>405</v>
      </c>
      <c r="I43" s="21" t="s">
        <v>0</v>
      </c>
      <c r="J43" s="20" t="s">
        <v>778</v>
      </c>
      <c r="K43" s="20">
        <v>3.5</v>
      </c>
      <c r="L43" s="20">
        <v>0.7</v>
      </c>
      <c r="M43" s="17" t="s">
        <v>261</v>
      </c>
      <c r="N43" s="18" t="s">
        <v>21</v>
      </c>
      <c r="O43" s="18">
        <v>3</v>
      </c>
      <c r="P43" s="19" t="s">
        <v>27</v>
      </c>
      <c r="Q43" s="16" t="s">
        <v>363</v>
      </c>
      <c r="R43" s="16" t="s">
        <v>361</v>
      </c>
      <c r="S43" s="74"/>
      <c r="T43" s="34" t="s">
        <v>469</v>
      </c>
      <c r="U43" s="9" t="s">
        <v>470</v>
      </c>
      <c r="V43" s="9" t="s">
        <v>471</v>
      </c>
      <c r="W43" s="9" t="s">
        <v>472</v>
      </c>
    </row>
    <row r="44" spans="1:23" ht="80.099999999999994" customHeight="1" x14ac:dyDescent="0.25">
      <c r="A44" s="41" t="s">
        <v>30</v>
      </c>
      <c r="B44" s="8">
        <v>157</v>
      </c>
      <c r="C44" s="8"/>
      <c r="D44" s="36" t="s">
        <v>779</v>
      </c>
      <c r="E44" s="16" t="s">
        <v>352</v>
      </c>
      <c r="F44" s="16" t="s">
        <v>5</v>
      </c>
      <c r="G44" s="16" t="s">
        <v>430</v>
      </c>
      <c r="H44" s="16" t="s">
        <v>405</v>
      </c>
      <c r="I44" s="21">
        <v>10</v>
      </c>
      <c r="J44" s="20" t="s">
        <v>780</v>
      </c>
      <c r="K44" s="20">
        <v>6</v>
      </c>
      <c r="L44" s="22">
        <v>0.84</v>
      </c>
      <c r="M44" s="17" t="s">
        <v>261</v>
      </c>
      <c r="N44" s="18" t="s">
        <v>21</v>
      </c>
      <c r="O44" s="18">
        <v>3</v>
      </c>
      <c r="P44" s="19" t="s">
        <v>27</v>
      </c>
      <c r="Q44" s="16" t="s">
        <v>268</v>
      </c>
      <c r="R44" s="16" t="s">
        <v>362</v>
      </c>
      <c r="S44" s="74"/>
      <c r="T44" s="34" t="s">
        <v>473</v>
      </c>
      <c r="U44" s="9" t="s">
        <v>474</v>
      </c>
      <c r="V44" s="9" t="s">
        <v>475</v>
      </c>
      <c r="W44" s="9" t="s">
        <v>476</v>
      </c>
    </row>
    <row r="45" spans="1:23" ht="80.099999999999994" customHeight="1" x14ac:dyDescent="0.25">
      <c r="A45" s="66" t="s">
        <v>30</v>
      </c>
      <c r="B45" s="67">
        <v>158</v>
      </c>
      <c r="C45" s="67">
        <v>1</v>
      </c>
      <c r="D45" s="68" t="s">
        <v>781</v>
      </c>
      <c r="E45" s="44" t="s">
        <v>353</v>
      </c>
      <c r="F45" s="44" t="s">
        <v>5</v>
      </c>
      <c r="G45" s="44" t="s">
        <v>239</v>
      </c>
      <c r="H45" s="44" t="s">
        <v>405</v>
      </c>
      <c r="I45" s="69">
        <v>10</v>
      </c>
      <c r="J45" s="45" t="s">
        <v>782</v>
      </c>
      <c r="K45" s="45"/>
      <c r="L45" s="70">
        <v>1.46</v>
      </c>
      <c r="M45" s="71"/>
      <c r="N45" s="46" t="s">
        <v>21</v>
      </c>
      <c r="O45" s="46">
        <v>3</v>
      </c>
      <c r="P45" s="72" t="s">
        <v>431</v>
      </c>
      <c r="Q45" s="44" t="s">
        <v>364</v>
      </c>
      <c r="R45" s="44" t="s">
        <v>369</v>
      </c>
      <c r="S45" s="74"/>
      <c r="T45" s="72" t="s">
        <v>433</v>
      </c>
      <c r="U45" s="72" t="s">
        <v>433</v>
      </c>
      <c r="V45" s="72" t="s">
        <v>433</v>
      </c>
      <c r="W45" s="72" t="s">
        <v>433</v>
      </c>
    </row>
    <row r="46" spans="1:23" ht="80.099999999999994" customHeight="1" x14ac:dyDescent="0.25">
      <c r="A46" s="41" t="s">
        <v>30</v>
      </c>
      <c r="B46" s="8">
        <v>158</v>
      </c>
      <c r="C46" s="8">
        <v>2</v>
      </c>
      <c r="D46" s="36" t="s">
        <v>783</v>
      </c>
      <c r="E46" s="16" t="s">
        <v>360</v>
      </c>
      <c r="F46" s="16" t="s">
        <v>5</v>
      </c>
      <c r="G46" s="16" t="s">
        <v>239</v>
      </c>
      <c r="H46" s="16" t="s">
        <v>405</v>
      </c>
      <c r="I46" s="21">
        <v>10</v>
      </c>
      <c r="J46" s="20" t="s">
        <v>784</v>
      </c>
      <c r="K46" s="20">
        <v>7</v>
      </c>
      <c r="L46" s="22">
        <v>5.27</v>
      </c>
      <c r="M46" s="17"/>
      <c r="N46" s="18" t="s">
        <v>21</v>
      </c>
      <c r="O46" s="18">
        <v>3</v>
      </c>
      <c r="P46" s="19" t="s">
        <v>27</v>
      </c>
      <c r="Q46" s="16" t="s">
        <v>370</v>
      </c>
      <c r="R46" s="16" t="s">
        <v>364</v>
      </c>
      <c r="S46" s="74"/>
      <c r="T46" s="34" t="s">
        <v>477</v>
      </c>
      <c r="U46" s="9" t="s">
        <v>478</v>
      </c>
      <c r="V46" s="9" t="s">
        <v>479</v>
      </c>
      <c r="W46" s="9" t="s">
        <v>480</v>
      </c>
    </row>
    <row r="47" spans="1:23" ht="80.099999999999994" customHeight="1" x14ac:dyDescent="0.25">
      <c r="A47" s="66" t="s">
        <v>30</v>
      </c>
      <c r="B47" s="67">
        <v>159</v>
      </c>
      <c r="C47" s="67"/>
      <c r="D47" s="68" t="s">
        <v>785</v>
      </c>
      <c r="E47" s="44" t="s">
        <v>354</v>
      </c>
      <c r="F47" s="44" t="s">
        <v>5</v>
      </c>
      <c r="G47" s="44" t="s">
        <v>371</v>
      </c>
      <c r="H47" s="44" t="s">
        <v>405</v>
      </c>
      <c r="I47" s="69">
        <v>10</v>
      </c>
      <c r="J47" s="45" t="s">
        <v>786</v>
      </c>
      <c r="K47" s="45"/>
      <c r="L47" s="70">
        <v>0.71</v>
      </c>
      <c r="M47" s="71"/>
      <c r="N47" s="46" t="s">
        <v>21</v>
      </c>
      <c r="O47" s="46">
        <v>3</v>
      </c>
      <c r="P47" s="72" t="s">
        <v>431</v>
      </c>
      <c r="Q47" s="44" t="s">
        <v>373</v>
      </c>
      <c r="R47" s="44" t="s">
        <v>372</v>
      </c>
      <c r="S47" s="74"/>
      <c r="T47" s="72" t="s">
        <v>433</v>
      </c>
      <c r="U47" s="72" t="s">
        <v>433</v>
      </c>
      <c r="V47" s="72" t="s">
        <v>433</v>
      </c>
      <c r="W47" s="72" t="s">
        <v>433</v>
      </c>
    </row>
    <row r="48" spans="1:23" ht="80.099999999999994" customHeight="1" x14ac:dyDescent="0.25">
      <c r="A48" s="41" t="s">
        <v>30</v>
      </c>
      <c r="B48" s="8">
        <v>160</v>
      </c>
      <c r="C48" s="8"/>
      <c r="D48" s="36" t="s">
        <v>787</v>
      </c>
      <c r="E48" s="16" t="s">
        <v>355</v>
      </c>
      <c r="F48" s="16" t="s">
        <v>5</v>
      </c>
      <c r="G48" s="16" t="s">
        <v>434</v>
      </c>
      <c r="H48" s="16" t="s">
        <v>405</v>
      </c>
      <c r="I48" s="21">
        <v>10</v>
      </c>
      <c r="J48" s="20" t="s">
        <v>788</v>
      </c>
      <c r="K48" s="20">
        <v>5</v>
      </c>
      <c r="L48" s="22">
        <v>0.51</v>
      </c>
      <c r="M48" s="17"/>
      <c r="N48" s="18" t="s">
        <v>21</v>
      </c>
      <c r="O48" s="18">
        <v>3</v>
      </c>
      <c r="P48" s="19" t="s">
        <v>27</v>
      </c>
      <c r="Q48" s="16" t="s">
        <v>374</v>
      </c>
      <c r="R48" s="16" t="s">
        <v>375</v>
      </c>
      <c r="S48" s="74"/>
      <c r="T48" s="34" t="s">
        <v>481</v>
      </c>
      <c r="U48" s="9" t="s">
        <v>482</v>
      </c>
      <c r="V48" s="9" t="s">
        <v>483</v>
      </c>
      <c r="W48" s="9" t="s">
        <v>484</v>
      </c>
    </row>
    <row r="49" spans="1:23" ht="80.099999999999994" customHeight="1" x14ac:dyDescent="0.25">
      <c r="A49" s="41" t="s">
        <v>30</v>
      </c>
      <c r="B49" s="8">
        <v>161</v>
      </c>
      <c r="C49" s="8"/>
      <c r="D49" s="36" t="s">
        <v>789</v>
      </c>
      <c r="E49" s="16" t="s">
        <v>356</v>
      </c>
      <c r="F49" s="16" t="s">
        <v>5</v>
      </c>
      <c r="G49" s="16" t="s">
        <v>239</v>
      </c>
      <c r="H49" s="16" t="s">
        <v>405</v>
      </c>
      <c r="I49" s="21">
        <v>10</v>
      </c>
      <c r="J49" s="20" t="s">
        <v>790</v>
      </c>
      <c r="K49" s="20">
        <v>6</v>
      </c>
      <c r="L49" s="22">
        <v>0.73</v>
      </c>
      <c r="M49" s="17"/>
      <c r="N49" s="18" t="s">
        <v>21</v>
      </c>
      <c r="O49" s="18">
        <v>3</v>
      </c>
      <c r="P49" s="19" t="s">
        <v>27</v>
      </c>
      <c r="Q49" s="16" t="s">
        <v>376</v>
      </c>
      <c r="R49" s="16" t="s">
        <v>377</v>
      </c>
      <c r="S49" s="74"/>
      <c r="T49" s="9" t="s">
        <v>485</v>
      </c>
      <c r="U49" s="9" t="s">
        <v>486</v>
      </c>
      <c r="V49" s="9" t="s">
        <v>487</v>
      </c>
      <c r="W49" s="9" t="s">
        <v>488</v>
      </c>
    </row>
    <row r="50" spans="1:23" ht="80.099999999999994" customHeight="1" x14ac:dyDescent="0.25">
      <c r="A50" s="41" t="s">
        <v>30</v>
      </c>
      <c r="B50" s="8">
        <v>162</v>
      </c>
      <c r="C50" s="8"/>
      <c r="D50" s="36" t="s">
        <v>791</v>
      </c>
      <c r="E50" s="16" t="s">
        <v>357</v>
      </c>
      <c r="F50" s="16" t="s">
        <v>5</v>
      </c>
      <c r="G50" s="16" t="s">
        <v>9</v>
      </c>
      <c r="H50" s="16" t="s">
        <v>405</v>
      </c>
      <c r="I50" s="21">
        <v>10</v>
      </c>
      <c r="J50" s="20" t="s">
        <v>792</v>
      </c>
      <c r="K50" s="20">
        <v>7</v>
      </c>
      <c r="L50" s="22">
        <v>0.41</v>
      </c>
      <c r="M50" s="17"/>
      <c r="N50" s="18" t="s">
        <v>21</v>
      </c>
      <c r="O50" s="18">
        <v>3</v>
      </c>
      <c r="P50" s="19" t="s">
        <v>27</v>
      </c>
      <c r="Q50" s="16" t="s">
        <v>375</v>
      </c>
      <c r="R50" s="16" t="s">
        <v>370</v>
      </c>
      <c r="S50" s="74"/>
      <c r="T50" s="34" t="s">
        <v>489</v>
      </c>
      <c r="U50" s="9" t="s">
        <v>490</v>
      </c>
      <c r="V50" s="9" t="s">
        <v>491</v>
      </c>
      <c r="W50" s="9" t="s">
        <v>492</v>
      </c>
    </row>
    <row r="51" spans="1:23" ht="80.099999999999994" customHeight="1" x14ac:dyDescent="0.25">
      <c r="A51" s="41" t="s">
        <v>30</v>
      </c>
      <c r="B51" s="8">
        <v>163</v>
      </c>
      <c r="C51" s="8"/>
      <c r="D51" s="36" t="s">
        <v>793</v>
      </c>
      <c r="E51" s="16" t="s">
        <v>358</v>
      </c>
      <c r="F51" s="16" t="s">
        <v>5</v>
      </c>
      <c r="G51" s="16" t="s">
        <v>239</v>
      </c>
      <c r="H51" s="16" t="s">
        <v>405</v>
      </c>
      <c r="I51" s="21">
        <v>10</v>
      </c>
      <c r="J51" s="20" t="s">
        <v>794</v>
      </c>
      <c r="K51" s="20">
        <v>6.5</v>
      </c>
      <c r="L51" s="22">
        <v>0.15</v>
      </c>
      <c r="M51" s="17"/>
      <c r="N51" s="18" t="s">
        <v>21</v>
      </c>
      <c r="O51" s="18">
        <v>3</v>
      </c>
      <c r="P51" s="19" t="s">
        <v>27</v>
      </c>
      <c r="Q51" s="16" t="s">
        <v>377</v>
      </c>
      <c r="R51" s="16" t="s">
        <v>378</v>
      </c>
      <c r="S51" s="74"/>
      <c r="T51" s="9" t="s">
        <v>491</v>
      </c>
      <c r="U51" s="9" t="s">
        <v>492</v>
      </c>
      <c r="V51" s="9" t="s">
        <v>493</v>
      </c>
      <c r="W51" s="9" t="s">
        <v>494</v>
      </c>
    </row>
    <row r="52" spans="1:23" ht="80.099999999999994" customHeight="1" x14ac:dyDescent="0.25">
      <c r="A52" s="41" t="s">
        <v>30</v>
      </c>
      <c r="B52" s="8">
        <v>164</v>
      </c>
      <c r="C52" s="8"/>
      <c r="D52" s="36" t="s">
        <v>795</v>
      </c>
      <c r="E52" s="16" t="s">
        <v>359</v>
      </c>
      <c r="F52" s="16" t="s">
        <v>5</v>
      </c>
      <c r="G52" s="16" t="s">
        <v>239</v>
      </c>
      <c r="H52" s="16" t="s">
        <v>405</v>
      </c>
      <c r="I52" s="21">
        <v>10</v>
      </c>
      <c r="J52" s="20" t="s">
        <v>796</v>
      </c>
      <c r="K52" s="20">
        <v>5</v>
      </c>
      <c r="L52" s="22">
        <v>0.27400000000000002</v>
      </c>
      <c r="M52" s="17"/>
      <c r="N52" s="18" t="s">
        <v>21</v>
      </c>
      <c r="O52" s="18">
        <v>3</v>
      </c>
      <c r="P52" s="19" t="s">
        <v>27</v>
      </c>
      <c r="Q52" s="16" t="s">
        <v>378</v>
      </c>
      <c r="R52" s="16" t="s">
        <v>379</v>
      </c>
      <c r="S52" s="74"/>
      <c r="T52" s="34" t="s">
        <v>495</v>
      </c>
      <c r="U52" s="9" t="s">
        <v>496</v>
      </c>
      <c r="V52" s="9" t="s">
        <v>497</v>
      </c>
      <c r="W52" s="9" t="s">
        <v>498</v>
      </c>
    </row>
    <row r="53" spans="1:23" x14ac:dyDescent="0.25">
      <c r="A53" s="76"/>
      <c r="B53" s="77"/>
      <c r="C53" s="77"/>
      <c r="D53" s="78"/>
      <c r="E53" s="79"/>
      <c r="F53" s="79"/>
      <c r="G53" s="79"/>
      <c r="H53" s="79"/>
      <c r="I53" s="80"/>
      <c r="J53" s="81"/>
      <c r="K53" s="81"/>
      <c r="L53" s="81"/>
      <c r="M53" s="83"/>
      <c r="N53" s="84"/>
      <c r="O53" s="84"/>
      <c r="P53" s="85"/>
      <c r="Q53" s="79"/>
      <c r="R53" s="79"/>
      <c r="S53" s="74"/>
      <c r="T53" s="85"/>
      <c r="U53" s="84"/>
      <c r="V53" s="84"/>
      <c r="W53" s="84"/>
    </row>
    <row r="54" spans="1:23" ht="80.099999999999994" customHeight="1" x14ac:dyDescent="0.25">
      <c r="A54" s="41" t="s">
        <v>30</v>
      </c>
      <c r="B54" s="8">
        <v>170</v>
      </c>
      <c r="C54" s="8"/>
      <c r="D54" s="36" t="s">
        <v>797</v>
      </c>
      <c r="E54" s="16" t="s">
        <v>380</v>
      </c>
      <c r="F54" s="16" t="s">
        <v>5</v>
      </c>
      <c r="G54" s="16" t="s">
        <v>239</v>
      </c>
      <c r="H54" s="16" t="s">
        <v>386</v>
      </c>
      <c r="I54" s="21">
        <v>10</v>
      </c>
      <c r="J54" s="20" t="s">
        <v>798</v>
      </c>
      <c r="K54" s="20">
        <v>7</v>
      </c>
      <c r="L54" s="22">
        <v>0.75</v>
      </c>
      <c r="M54" s="17"/>
      <c r="N54" s="18" t="s">
        <v>21</v>
      </c>
      <c r="O54" s="18">
        <v>3</v>
      </c>
      <c r="P54" s="19" t="s">
        <v>27</v>
      </c>
      <c r="Q54" s="16" t="s">
        <v>387</v>
      </c>
      <c r="R54" s="16" t="s">
        <v>339</v>
      </c>
      <c r="S54" s="74"/>
      <c r="T54" s="34" t="s">
        <v>499</v>
      </c>
      <c r="U54" s="9" t="s">
        <v>500</v>
      </c>
      <c r="V54" s="9" t="s">
        <v>501</v>
      </c>
      <c r="W54" s="9" t="s">
        <v>502</v>
      </c>
    </row>
    <row r="55" spans="1:23" ht="80.099999999999994" customHeight="1" x14ac:dyDescent="0.25">
      <c r="A55" s="41" t="s">
        <v>30</v>
      </c>
      <c r="B55" s="8">
        <v>171</v>
      </c>
      <c r="C55" s="8"/>
      <c r="D55" s="36" t="s">
        <v>799</v>
      </c>
      <c r="E55" s="16" t="s">
        <v>381</v>
      </c>
      <c r="F55" s="16" t="s">
        <v>5</v>
      </c>
      <c r="G55" s="16" t="s">
        <v>239</v>
      </c>
      <c r="H55" s="16" t="s">
        <v>386</v>
      </c>
      <c r="I55" s="21">
        <v>10</v>
      </c>
      <c r="J55" s="20" t="s">
        <v>800</v>
      </c>
      <c r="K55" s="20">
        <v>6</v>
      </c>
      <c r="L55" s="22">
        <v>3.38</v>
      </c>
      <c r="M55" s="17"/>
      <c r="N55" s="18" t="s">
        <v>21</v>
      </c>
      <c r="O55" s="18">
        <v>3</v>
      </c>
      <c r="P55" s="19" t="s">
        <v>27</v>
      </c>
      <c r="Q55" s="16" t="s">
        <v>293</v>
      </c>
      <c r="R55" s="16" t="s">
        <v>388</v>
      </c>
      <c r="S55" s="74"/>
      <c r="T55" s="9" t="s">
        <v>501</v>
      </c>
      <c r="U55" s="9" t="s">
        <v>502</v>
      </c>
      <c r="V55" s="9" t="s">
        <v>503</v>
      </c>
      <c r="W55" s="9" t="s">
        <v>504</v>
      </c>
    </row>
    <row r="56" spans="1:23" ht="80.099999999999994" customHeight="1" x14ac:dyDescent="0.25">
      <c r="A56" s="41" t="s">
        <v>30</v>
      </c>
      <c r="B56" s="8">
        <v>172</v>
      </c>
      <c r="C56" s="8"/>
      <c r="D56" s="36" t="s">
        <v>801</v>
      </c>
      <c r="E56" s="16" t="s">
        <v>382</v>
      </c>
      <c r="F56" s="16" t="s">
        <v>5</v>
      </c>
      <c r="G56" s="16" t="s">
        <v>239</v>
      </c>
      <c r="H56" s="16" t="s">
        <v>386</v>
      </c>
      <c r="I56" s="21">
        <v>10</v>
      </c>
      <c r="J56" s="20" t="s">
        <v>802</v>
      </c>
      <c r="K56" s="20">
        <v>6</v>
      </c>
      <c r="L56" s="22">
        <v>0.61</v>
      </c>
      <c r="M56" s="17"/>
      <c r="N56" s="18" t="s">
        <v>21</v>
      </c>
      <c r="O56" s="18">
        <v>3</v>
      </c>
      <c r="P56" s="19" t="s">
        <v>27</v>
      </c>
      <c r="Q56" s="16" t="s">
        <v>339</v>
      </c>
      <c r="R56" s="16" t="s">
        <v>389</v>
      </c>
      <c r="S56" s="74"/>
      <c r="T56" s="9" t="s">
        <v>503</v>
      </c>
      <c r="U56" s="9" t="s">
        <v>504</v>
      </c>
      <c r="V56" s="9" t="s">
        <v>505</v>
      </c>
      <c r="W56" s="9" t="s">
        <v>506</v>
      </c>
    </row>
    <row r="57" spans="1:23" ht="80.099999999999994" customHeight="1" x14ac:dyDescent="0.25">
      <c r="A57" s="41" t="s">
        <v>30</v>
      </c>
      <c r="B57" s="8">
        <v>173</v>
      </c>
      <c r="C57" s="8"/>
      <c r="D57" s="36" t="s">
        <v>803</v>
      </c>
      <c r="E57" s="16" t="s">
        <v>383</v>
      </c>
      <c r="F57" s="16" t="s">
        <v>5</v>
      </c>
      <c r="G57" s="16" t="s">
        <v>239</v>
      </c>
      <c r="H57" s="16" t="s">
        <v>386</v>
      </c>
      <c r="I57" s="21">
        <v>10</v>
      </c>
      <c r="J57" s="20" t="s">
        <v>804</v>
      </c>
      <c r="K57" s="20">
        <v>6</v>
      </c>
      <c r="L57" s="22">
        <v>2.2000000000000002</v>
      </c>
      <c r="M57" s="17"/>
      <c r="N57" s="18" t="s">
        <v>21</v>
      </c>
      <c r="O57" s="18">
        <v>3</v>
      </c>
      <c r="P57" s="19" t="s">
        <v>27</v>
      </c>
      <c r="Q57" s="16" t="s">
        <v>388</v>
      </c>
      <c r="R57" s="16" t="s">
        <v>390</v>
      </c>
      <c r="S57" s="74"/>
      <c r="T57" s="34" t="s">
        <v>507</v>
      </c>
      <c r="U57" s="9" t="s">
        <v>508</v>
      </c>
      <c r="V57" s="9" t="s">
        <v>509</v>
      </c>
      <c r="W57" s="9" t="s">
        <v>510</v>
      </c>
    </row>
    <row r="58" spans="1:23" ht="80.099999999999994" customHeight="1" x14ac:dyDescent="0.25">
      <c r="A58" s="41" t="s">
        <v>30</v>
      </c>
      <c r="B58" s="8">
        <v>174</v>
      </c>
      <c r="C58" s="8"/>
      <c r="D58" s="36" t="s">
        <v>805</v>
      </c>
      <c r="E58" s="16" t="s">
        <v>384</v>
      </c>
      <c r="F58" s="16" t="s">
        <v>5</v>
      </c>
      <c r="G58" s="16" t="s">
        <v>10</v>
      </c>
      <c r="H58" s="16" t="s">
        <v>386</v>
      </c>
      <c r="I58" s="21">
        <v>10</v>
      </c>
      <c r="J58" s="20" t="s">
        <v>806</v>
      </c>
      <c r="K58" s="20">
        <v>3</v>
      </c>
      <c r="L58" s="22">
        <v>0.66</v>
      </c>
      <c r="M58" s="17"/>
      <c r="N58" s="18" t="s">
        <v>21</v>
      </c>
      <c r="O58" s="18">
        <v>3</v>
      </c>
      <c r="P58" s="19" t="s">
        <v>27</v>
      </c>
      <c r="Q58" s="16" t="s">
        <v>389</v>
      </c>
      <c r="R58" s="16" t="s">
        <v>391</v>
      </c>
      <c r="S58" s="74"/>
      <c r="T58" s="9" t="s">
        <v>509</v>
      </c>
      <c r="U58" s="9" t="s">
        <v>510</v>
      </c>
      <c r="V58" s="9" t="s">
        <v>511</v>
      </c>
      <c r="W58" s="9" t="s">
        <v>512</v>
      </c>
    </row>
    <row r="59" spans="1:23" ht="80.099999999999994" customHeight="1" x14ac:dyDescent="0.25">
      <c r="A59" s="41" t="s">
        <v>30</v>
      </c>
      <c r="B59" s="8">
        <v>175</v>
      </c>
      <c r="C59" s="8"/>
      <c r="D59" s="36" t="s">
        <v>807</v>
      </c>
      <c r="E59" s="16" t="s">
        <v>385</v>
      </c>
      <c r="F59" s="16" t="s">
        <v>5</v>
      </c>
      <c r="G59" s="16" t="s">
        <v>239</v>
      </c>
      <c r="H59" s="16" t="s">
        <v>386</v>
      </c>
      <c r="I59" s="21">
        <v>10</v>
      </c>
      <c r="J59" s="20" t="s">
        <v>808</v>
      </c>
      <c r="K59" s="20">
        <v>4</v>
      </c>
      <c r="L59" s="22">
        <v>0.11</v>
      </c>
      <c r="M59" s="17"/>
      <c r="N59" s="18" t="s">
        <v>21</v>
      </c>
      <c r="O59" s="18">
        <v>3</v>
      </c>
      <c r="P59" s="19" t="s">
        <v>27</v>
      </c>
      <c r="Q59" s="16" t="s">
        <v>390</v>
      </c>
      <c r="R59" s="16" t="s">
        <v>392</v>
      </c>
      <c r="S59" s="74"/>
      <c r="T59" s="9" t="s">
        <v>511</v>
      </c>
      <c r="U59" s="9" t="s">
        <v>512</v>
      </c>
      <c r="V59" s="9" t="s">
        <v>513</v>
      </c>
      <c r="W59" s="9" t="s">
        <v>514</v>
      </c>
    </row>
    <row r="60" spans="1:23" x14ac:dyDescent="0.25">
      <c r="A60" s="76"/>
      <c r="B60" s="77"/>
      <c r="C60" s="77"/>
      <c r="D60" s="78"/>
      <c r="E60" s="79"/>
      <c r="F60" s="79"/>
      <c r="G60" s="79"/>
      <c r="H60" s="79"/>
      <c r="I60" s="80"/>
      <c r="J60" s="81"/>
      <c r="K60" s="81"/>
      <c r="L60" s="81"/>
      <c r="M60" s="83"/>
      <c r="N60" s="84"/>
      <c r="O60" s="84"/>
      <c r="P60" s="85"/>
      <c r="Q60" s="79"/>
      <c r="R60" s="79"/>
      <c r="S60" s="74"/>
      <c r="T60" s="85"/>
      <c r="U60" s="84"/>
      <c r="V60" s="84"/>
      <c r="W60" s="84"/>
    </row>
    <row r="61" spans="1:23" ht="80.099999999999994" customHeight="1" x14ac:dyDescent="0.25">
      <c r="A61" s="41" t="s">
        <v>30</v>
      </c>
      <c r="B61" s="8">
        <v>180</v>
      </c>
      <c r="C61" s="8"/>
      <c r="D61" s="36" t="s">
        <v>809</v>
      </c>
      <c r="E61" s="16" t="s">
        <v>393</v>
      </c>
      <c r="F61" s="16" t="s">
        <v>5</v>
      </c>
      <c r="G61" s="16" t="s">
        <v>9</v>
      </c>
      <c r="H61" s="16" t="s">
        <v>396</v>
      </c>
      <c r="I61" s="21">
        <v>10</v>
      </c>
      <c r="J61" s="20" t="s">
        <v>810</v>
      </c>
      <c r="K61" s="20">
        <v>10</v>
      </c>
      <c r="L61" s="22">
        <v>1.37</v>
      </c>
      <c r="M61" s="17"/>
      <c r="N61" s="18" t="s">
        <v>21</v>
      </c>
      <c r="O61" s="18">
        <v>3</v>
      </c>
      <c r="P61" s="19" t="s">
        <v>27</v>
      </c>
      <c r="Q61" s="16" t="s">
        <v>292</v>
      </c>
      <c r="R61" s="16" t="s">
        <v>47</v>
      </c>
      <c r="S61" s="74"/>
      <c r="T61" s="34" t="s">
        <v>516</v>
      </c>
      <c r="U61" s="9" t="s">
        <v>517</v>
      </c>
      <c r="V61" s="9" t="s">
        <v>518</v>
      </c>
      <c r="W61" s="9" t="s">
        <v>519</v>
      </c>
    </row>
    <row r="62" spans="1:23" ht="80.099999999999994" customHeight="1" x14ac:dyDescent="0.25">
      <c r="A62" s="41" t="s">
        <v>30</v>
      </c>
      <c r="B62" s="8">
        <v>181</v>
      </c>
      <c r="C62" s="8"/>
      <c r="D62" s="36" t="s">
        <v>811</v>
      </c>
      <c r="E62" s="16" t="s">
        <v>394</v>
      </c>
      <c r="F62" s="16" t="s">
        <v>5</v>
      </c>
      <c r="G62" s="16" t="s">
        <v>239</v>
      </c>
      <c r="H62" s="16" t="s">
        <v>396</v>
      </c>
      <c r="I62" s="21">
        <v>10</v>
      </c>
      <c r="J62" s="20" t="s">
        <v>812</v>
      </c>
      <c r="K62" s="20">
        <v>5</v>
      </c>
      <c r="L62" s="22">
        <v>0.53</v>
      </c>
      <c r="M62" s="17"/>
      <c r="N62" s="18" t="s">
        <v>21</v>
      </c>
      <c r="O62" s="18">
        <v>3</v>
      </c>
      <c r="P62" s="19" t="s">
        <v>27</v>
      </c>
      <c r="Q62" s="16" t="s">
        <v>284</v>
      </c>
      <c r="R62" s="16" t="s">
        <v>515</v>
      </c>
      <c r="S62" s="74"/>
      <c r="T62" s="34" t="s">
        <v>520</v>
      </c>
      <c r="U62" s="9" t="s">
        <v>521</v>
      </c>
      <c r="V62" s="9" t="s">
        <v>522</v>
      </c>
      <c r="W62" s="9" t="s">
        <v>523</v>
      </c>
    </row>
    <row r="63" spans="1:23" ht="80.099999999999994" customHeight="1" x14ac:dyDescent="0.25">
      <c r="A63" s="41" t="s">
        <v>30</v>
      </c>
      <c r="B63" s="8">
        <v>182</v>
      </c>
      <c r="C63" s="8"/>
      <c r="D63" s="36" t="s">
        <v>813</v>
      </c>
      <c r="E63" s="16" t="s">
        <v>395</v>
      </c>
      <c r="F63" s="16" t="s">
        <v>5</v>
      </c>
      <c r="G63" s="16" t="s">
        <v>9</v>
      </c>
      <c r="H63" s="16" t="s">
        <v>396</v>
      </c>
      <c r="I63" s="21">
        <v>10</v>
      </c>
      <c r="J63" s="20" t="s">
        <v>814</v>
      </c>
      <c r="K63" s="20">
        <v>3</v>
      </c>
      <c r="L63" s="22">
        <v>0.35</v>
      </c>
      <c r="M63" s="17"/>
      <c r="N63" s="18" t="s">
        <v>21</v>
      </c>
      <c r="O63" s="18">
        <v>3</v>
      </c>
      <c r="P63" s="19" t="s">
        <v>27</v>
      </c>
      <c r="Q63" s="16" t="s">
        <v>397</v>
      </c>
      <c r="R63" s="16" t="s">
        <v>398</v>
      </c>
      <c r="S63" s="74"/>
      <c r="T63" s="34" t="s">
        <v>524</v>
      </c>
      <c r="U63" s="9" t="s">
        <v>525</v>
      </c>
      <c r="V63" s="9" t="s">
        <v>526</v>
      </c>
      <c r="W63" s="9" t="s">
        <v>527</v>
      </c>
    </row>
    <row r="64" spans="1:23" x14ac:dyDescent="0.25">
      <c r="A64" s="76"/>
      <c r="B64" s="77"/>
      <c r="C64" s="77"/>
      <c r="D64" s="78"/>
      <c r="E64" s="79"/>
      <c r="F64" s="79"/>
      <c r="G64" s="79"/>
      <c r="H64" s="79"/>
      <c r="I64" s="80"/>
      <c r="J64" s="81"/>
      <c r="K64" s="81"/>
      <c r="L64" s="82"/>
      <c r="M64" s="83"/>
      <c r="N64" s="84"/>
      <c r="O64" s="84"/>
      <c r="P64" s="85"/>
      <c r="Q64" s="79"/>
      <c r="R64" s="79"/>
      <c r="S64" s="74"/>
      <c r="T64" s="84"/>
      <c r="U64" s="84"/>
      <c r="V64" s="84"/>
      <c r="W64" s="84"/>
    </row>
    <row r="65" spans="1:23" ht="80.099999999999994" customHeight="1" x14ac:dyDescent="0.25">
      <c r="A65" s="41" t="s">
        <v>30</v>
      </c>
      <c r="B65" s="8">
        <v>300</v>
      </c>
      <c r="C65" s="8"/>
      <c r="D65" s="48" t="s">
        <v>815</v>
      </c>
      <c r="E65" s="23" t="s">
        <v>90</v>
      </c>
      <c r="F65" s="23" t="s">
        <v>5</v>
      </c>
      <c r="G65" s="23" t="s">
        <v>239</v>
      </c>
      <c r="H65" s="23" t="s">
        <v>95</v>
      </c>
      <c r="I65" s="24">
        <v>10</v>
      </c>
      <c r="J65" s="25" t="s">
        <v>816</v>
      </c>
      <c r="K65" s="25">
        <v>6</v>
      </c>
      <c r="L65" s="25">
        <v>0.5</v>
      </c>
      <c r="M65" s="26" t="s">
        <v>253</v>
      </c>
      <c r="N65" s="27" t="s">
        <v>19</v>
      </c>
      <c r="O65" s="27">
        <v>4</v>
      </c>
      <c r="P65" s="35" t="s">
        <v>27</v>
      </c>
      <c r="Q65" s="49" t="s">
        <v>96</v>
      </c>
      <c r="R65" s="49" t="s">
        <v>97</v>
      </c>
      <c r="S65" s="74"/>
      <c r="T65" s="34" t="s">
        <v>202</v>
      </c>
      <c r="U65" s="9" t="s">
        <v>203</v>
      </c>
      <c r="V65" s="9" t="s">
        <v>204</v>
      </c>
      <c r="W65" s="9" t="s">
        <v>205</v>
      </c>
    </row>
    <row r="66" spans="1:23" ht="80.099999999999994" customHeight="1" x14ac:dyDescent="0.25">
      <c r="A66" s="41" t="s">
        <v>30</v>
      </c>
      <c r="B66" s="8">
        <v>301</v>
      </c>
      <c r="C66" s="8"/>
      <c r="D66" s="48" t="s">
        <v>817</v>
      </c>
      <c r="E66" s="23" t="s">
        <v>91</v>
      </c>
      <c r="F66" s="23" t="s">
        <v>5</v>
      </c>
      <c r="G66" s="23" t="s">
        <v>9</v>
      </c>
      <c r="H66" s="23" t="s">
        <v>95</v>
      </c>
      <c r="I66" s="24">
        <v>10</v>
      </c>
      <c r="J66" s="25" t="s">
        <v>818</v>
      </c>
      <c r="K66" s="25">
        <v>7</v>
      </c>
      <c r="L66" s="25">
        <v>0.5</v>
      </c>
      <c r="M66" s="26" t="s">
        <v>253</v>
      </c>
      <c r="N66" s="27" t="s">
        <v>19</v>
      </c>
      <c r="O66" s="27">
        <v>4</v>
      </c>
      <c r="P66" s="35" t="s">
        <v>27</v>
      </c>
      <c r="Q66" s="49" t="s">
        <v>96</v>
      </c>
      <c r="R66" s="49" t="s">
        <v>98</v>
      </c>
      <c r="S66" s="74"/>
      <c r="T66" s="34" t="s">
        <v>206</v>
      </c>
      <c r="U66" s="9" t="s">
        <v>207</v>
      </c>
      <c r="V66" s="9" t="s">
        <v>208</v>
      </c>
      <c r="W66" s="9" t="s">
        <v>209</v>
      </c>
    </row>
    <row r="67" spans="1:23" ht="80.099999999999994" customHeight="1" x14ac:dyDescent="0.25">
      <c r="A67" s="41" t="s">
        <v>30</v>
      </c>
      <c r="B67" s="8">
        <v>302</v>
      </c>
      <c r="C67" s="8"/>
      <c r="D67" s="48" t="s">
        <v>819</v>
      </c>
      <c r="E67" s="23" t="s">
        <v>92</v>
      </c>
      <c r="F67" s="23" t="s">
        <v>5</v>
      </c>
      <c r="G67" s="23" t="s">
        <v>9</v>
      </c>
      <c r="H67" s="23" t="s">
        <v>102</v>
      </c>
      <c r="I67" s="24">
        <v>10</v>
      </c>
      <c r="J67" s="25" t="s">
        <v>820</v>
      </c>
      <c r="K67" s="25">
        <v>12</v>
      </c>
      <c r="L67" s="25">
        <v>0.6</v>
      </c>
      <c r="M67" s="26" t="s">
        <v>253</v>
      </c>
      <c r="N67" s="27" t="s">
        <v>19</v>
      </c>
      <c r="O67" s="27">
        <v>4</v>
      </c>
      <c r="P67" s="35" t="s">
        <v>27</v>
      </c>
      <c r="Q67" s="49" t="s">
        <v>96</v>
      </c>
      <c r="R67" s="49" t="s">
        <v>103</v>
      </c>
      <c r="S67" s="74"/>
      <c r="T67" s="34" t="s">
        <v>210</v>
      </c>
      <c r="U67" s="9" t="s">
        <v>211</v>
      </c>
      <c r="V67" s="9" t="s">
        <v>212</v>
      </c>
      <c r="W67" s="9" t="s">
        <v>213</v>
      </c>
    </row>
    <row r="68" spans="1:23" ht="80.099999999999994" customHeight="1" x14ac:dyDescent="0.25">
      <c r="A68" s="41" t="s">
        <v>30</v>
      </c>
      <c r="B68" s="8">
        <v>303</v>
      </c>
      <c r="C68" s="8"/>
      <c r="D68" s="48" t="s">
        <v>821</v>
      </c>
      <c r="E68" s="23" t="s">
        <v>93</v>
      </c>
      <c r="F68" s="23" t="s">
        <v>5</v>
      </c>
      <c r="G68" s="23" t="s">
        <v>9</v>
      </c>
      <c r="H68" s="23" t="s">
        <v>104</v>
      </c>
      <c r="I68" s="24">
        <v>10</v>
      </c>
      <c r="J68" s="25" t="s">
        <v>822</v>
      </c>
      <c r="K68" s="25">
        <v>13.5</v>
      </c>
      <c r="L68" s="40">
        <v>1.68</v>
      </c>
      <c r="M68" s="26"/>
      <c r="N68" s="27" t="s">
        <v>19</v>
      </c>
      <c r="O68" s="27">
        <v>4</v>
      </c>
      <c r="P68" s="35" t="s">
        <v>27</v>
      </c>
      <c r="Q68" s="49" t="s">
        <v>88</v>
      </c>
      <c r="R68" s="49" t="s">
        <v>105</v>
      </c>
      <c r="S68" s="74"/>
      <c r="T68" s="34" t="s">
        <v>214</v>
      </c>
      <c r="U68" s="9" t="s">
        <v>215</v>
      </c>
      <c r="V68" s="9" t="s">
        <v>216</v>
      </c>
      <c r="W68" s="9" t="s">
        <v>217</v>
      </c>
    </row>
    <row r="69" spans="1:23" ht="80.099999999999994" customHeight="1" x14ac:dyDescent="0.25">
      <c r="A69" s="41" t="s">
        <v>30</v>
      </c>
      <c r="B69" s="8">
        <v>304</v>
      </c>
      <c r="C69" s="8"/>
      <c r="D69" s="48" t="s">
        <v>823</v>
      </c>
      <c r="E69" s="23" t="s">
        <v>94</v>
      </c>
      <c r="F69" s="23" t="s">
        <v>5</v>
      </c>
      <c r="G69" s="23" t="s">
        <v>9</v>
      </c>
      <c r="H69" s="23" t="s">
        <v>104</v>
      </c>
      <c r="I69" s="24">
        <v>10</v>
      </c>
      <c r="J69" s="25" t="s">
        <v>824</v>
      </c>
      <c r="K69" s="25">
        <v>13.5</v>
      </c>
      <c r="L69" s="40">
        <v>0.8</v>
      </c>
      <c r="M69" s="26"/>
      <c r="N69" s="27" t="s">
        <v>19</v>
      </c>
      <c r="O69" s="27">
        <v>4</v>
      </c>
      <c r="P69" s="35" t="s">
        <v>27</v>
      </c>
      <c r="Q69" s="49" t="s">
        <v>105</v>
      </c>
      <c r="R69" s="49" t="s">
        <v>106</v>
      </c>
      <c r="S69" s="74"/>
      <c r="T69" s="34" t="s">
        <v>218</v>
      </c>
      <c r="U69" s="9" t="s">
        <v>219</v>
      </c>
      <c r="V69" s="9" t="s">
        <v>220</v>
      </c>
      <c r="W69" s="9" t="s">
        <v>221</v>
      </c>
    </row>
    <row r="70" spans="1:23" ht="80.099999999999994" customHeight="1" x14ac:dyDescent="0.25">
      <c r="A70" s="41" t="s">
        <v>30</v>
      </c>
      <c r="B70" s="8">
        <v>305</v>
      </c>
      <c r="C70" s="8"/>
      <c r="D70" s="48" t="s">
        <v>825</v>
      </c>
      <c r="E70" s="23" t="s">
        <v>83</v>
      </c>
      <c r="F70" s="23" t="s">
        <v>5</v>
      </c>
      <c r="G70" s="23" t="s">
        <v>9</v>
      </c>
      <c r="H70" s="23" t="s">
        <v>99</v>
      </c>
      <c r="I70" s="24">
        <v>10</v>
      </c>
      <c r="J70" s="25" t="s">
        <v>826</v>
      </c>
      <c r="K70" s="25">
        <v>13.5</v>
      </c>
      <c r="L70" s="25">
        <v>0.3</v>
      </c>
      <c r="M70" s="26"/>
      <c r="N70" s="27" t="s">
        <v>19</v>
      </c>
      <c r="O70" s="27">
        <v>4</v>
      </c>
      <c r="P70" s="35" t="s">
        <v>27</v>
      </c>
      <c r="Q70" s="49" t="s">
        <v>100</v>
      </c>
      <c r="R70" s="49" t="s">
        <v>101</v>
      </c>
      <c r="S70" s="74"/>
      <c r="T70" s="34" t="s">
        <v>222</v>
      </c>
      <c r="U70" s="9" t="s">
        <v>223</v>
      </c>
      <c r="V70" s="9" t="s">
        <v>224</v>
      </c>
      <c r="W70" s="9" t="s">
        <v>225</v>
      </c>
    </row>
    <row r="71" spans="1:23" ht="80.099999999999994" customHeight="1" x14ac:dyDescent="0.25">
      <c r="A71" s="41" t="s">
        <v>30</v>
      </c>
      <c r="B71" s="8">
        <v>306</v>
      </c>
      <c r="C71" s="8"/>
      <c r="D71" s="48" t="s">
        <v>827</v>
      </c>
      <c r="E71" s="23" t="s">
        <v>109</v>
      </c>
      <c r="F71" s="23" t="s">
        <v>5</v>
      </c>
      <c r="G71" s="23" t="s">
        <v>9</v>
      </c>
      <c r="H71" s="23" t="s">
        <v>99</v>
      </c>
      <c r="I71" s="24">
        <v>10</v>
      </c>
      <c r="J71" s="25" t="s">
        <v>828</v>
      </c>
      <c r="K71" s="25">
        <v>6</v>
      </c>
      <c r="L71" s="25">
        <v>4.2</v>
      </c>
      <c r="M71" s="26" t="s">
        <v>253</v>
      </c>
      <c r="N71" s="47" t="s">
        <v>19</v>
      </c>
      <c r="O71" s="27">
        <v>4</v>
      </c>
      <c r="P71" s="35" t="s">
        <v>27</v>
      </c>
      <c r="Q71" s="49" t="s">
        <v>110</v>
      </c>
      <c r="R71" s="49" t="s">
        <v>111</v>
      </c>
      <c r="S71" s="74"/>
      <c r="T71" s="34" t="s">
        <v>226</v>
      </c>
      <c r="U71" s="9" t="s">
        <v>227</v>
      </c>
      <c r="V71" s="9" t="s">
        <v>228</v>
      </c>
      <c r="W71" s="9" t="s">
        <v>229</v>
      </c>
    </row>
    <row r="72" spans="1:23" ht="80.099999999999994" customHeight="1" x14ac:dyDescent="0.25">
      <c r="A72" s="41" t="s">
        <v>30</v>
      </c>
      <c r="B72" s="8">
        <v>307</v>
      </c>
      <c r="C72" s="8"/>
      <c r="D72" s="48" t="s">
        <v>829</v>
      </c>
      <c r="E72" s="23" t="s">
        <v>408</v>
      </c>
      <c r="F72" s="23" t="s">
        <v>5</v>
      </c>
      <c r="G72" s="23" t="s">
        <v>9</v>
      </c>
      <c r="H72" s="23" t="s">
        <v>409</v>
      </c>
      <c r="I72" s="24">
        <v>10</v>
      </c>
      <c r="J72" s="25" t="s">
        <v>830</v>
      </c>
      <c r="K72" s="25">
        <v>6</v>
      </c>
      <c r="L72" s="40">
        <v>0.14000000000000001</v>
      </c>
      <c r="M72" s="26"/>
      <c r="N72" s="47" t="s">
        <v>19</v>
      </c>
      <c r="O72" s="27">
        <v>4</v>
      </c>
      <c r="P72" s="35" t="s">
        <v>27</v>
      </c>
      <c r="Q72" s="49" t="s">
        <v>36</v>
      </c>
      <c r="R72" s="49" t="s">
        <v>47</v>
      </c>
      <c r="S72" s="74"/>
      <c r="T72" s="34" t="s">
        <v>536</v>
      </c>
      <c r="U72" s="9" t="s">
        <v>537</v>
      </c>
      <c r="V72" s="9" t="s">
        <v>538</v>
      </c>
      <c r="W72" s="9" t="s">
        <v>539</v>
      </c>
    </row>
    <row r="73" spans="1:23" ht="80.099999999999994" customHeight="1" x14ac:dyDescent="0.25">
      <c r="A73" s="41" t="s">
        <v>30</v>
      </c>
      <c r="B73" s="8">
        <v>308</v>
      </c>
      <c r="C73" s="8"/>
      <c r="D73" s="48" t="s">
        <v>831</v>
      </c>
      <c r="E73" s="23" t="s">
        <v>399</v>
      </c>
      <c r="F73" s="23" t="s">
        <v>5</v>
      </c>
      <c r="G73" s="23" t="s">
        <v>9</v>
      </c>
      <c r="H73" s="23" t="s">
        <v>407</v>
      </c>
      <c r="I73" s="24">
        <v>10</v>
      </c>
      <c r="J73" s="25" t="s">
        <v>832</v>
      </c>
      <c r="K73" s="25">
        <v>7.5</v>
      </c>
      <c r="L73" s="40">
        <v>0.26</v>
      </c>
      <c r="M73" s="26"/>
      <c r="N73" s="47" t="s">
        <v>19</v>
      </c>
      <c r="O73" s="27">
        <v>4</v>
      </c>
      <c r="P73" s="35" t="s">
        <v>27</v>
      </c>
      <c r="Q73" s="49" t="s">
        <v>364</v>
      </c>
      <c r="R73" s="49" t="s">
        <v>528</v>
      </c>
      <c r="S73" s="74"/>
      <c r="T73" s="34" t="s">
        <v>540</v>
      </c>
      <c r="U73" s="9" t="s">
        <v>541</v>
      </c>
      <c r="V73" s="9" t="s">
        <v>542</v>
      </c>
      <c r="W73" s="9" t="s">
        <v>543</v>
      </c>
    </row>
    <row r="74" spans="1:23" ht="80.099999999999994" customHeight="1" x14ac:dyDescent="0.25">
      <c r="A74" s="41" t="s">
        <v>30</v>
      </c>
      <c r="B74" s="8">
        <v>309</v>
      </c>
      <c r="C74" s="8"/>
      <c r="D74" s="48" t="s">
        <v>833</v>
      </c>
      <c r="E74" s="23" t="s">
        <v>400</v>
      </c>
      <c r="F74" s="23" t="s">
        <v>29</v>
      </c>
      <c r="G74" s="23" t="s">
        <v>6</v>
      </c>
      <c r="H74" s="23" t="s">
        <v>413</v>
      </c>
      <c r="I74" s="24" t="s">
        <v>0</v>
      </c>
      <c r="J74" s="25" t="s">
        <v>834</v>
      </c>
      <c r="K74" s="25">
        <v>5</v>
      </c>
      <c r="L74" s="40">
        <v>0.25</v>
      </c>
      <c r="M74" s="26"/>
      <c r="N74" s="47" t="s">
        <v>19</v>
      </c>
      <c r="O74" s="27">
        <v>4</v>
      </c>
      <c r="P74" s="35" t="s">
        <v>27</v>
      </c>
      <c r="Q74" s="49" t="s">
        <v>364</v>
      </c>
      <c r="R74" s="49" t="s">
        <v>529</v>
      </c>
      <c r="S74" s="74"/>
      <c r="T74" s="34" t="s">
        <v>544</v>
      </c>
      <c r="U74" s="9" t="s">
        <v>545</v>
      </c>
      <c r="V74" s="9" t="s">
        <v>546</v>
      </c>
      <c r="W74" s="9" t="s">
        <v>547</v>
      </c>
    </row>
    <row r="75" spans="1:23" ht="80.099999999999994" customHeight="1" x14ac:dyDescent="0.25">
      <c r="A75" s="41" t="s">
        <v>30</v>
      </c>
      <c r="B75" s="8">
        <v>310</v>
      </c>
      <c r="C75" s="8"/>
      <c r="D75" s="48" t="s">
        <v>835</v>
      </c>
      <c r="E75" s="23" t="s">
        <v>401</v>
      </c>
      <c r="F75" s="23" t="s">
        <v>29</v>
      </c>
      <c r="G75" s="23" t="s">
        <v>6</v>
      </c>
      <c r="H75" s="23" t="s">
        <v>413</v>
      </c>
      <c r="I75" s="24" t="s">
        <v>0</v>
      </c>
      <c r="J75" s="25" t="s">
        <v>836</v>
      </c>
      <c r="K75" s="25">
        <v>3.5</v>
      </c>
      <c r="L75" s="40">
        <v>0.28000000000000003</v>
      </c>
      <c r="M75" s="26"/>
      <c r="N75" s="47" t="s">
        <v>19</v>
      </c>
      <c r="O75" s="27">
        <v>4</v>
      </c>
      <c r="P75" s="35" t="s">
        <v>27</v>
      </c>
      <c r="Q75" s="49" t="s">
        <v>364</v>
      </c>
      <c r="R75" s="49" t="s">
        <v>530</v>
      </c>
      <c r="S75" s="74"/>
      <c r="T75" s="34" t="s">
        <v>548</v>
      </c>
      <c r="U75" s="9" t="s">
        <v>549</v>
      </c>
      <c r="V75" s="9" t="s">
        <v>550</v>
      </c>
      <c r="W75" s="9" t="s">
        <v>551</v>
      </c>
    </row>
    <row r="76" spans="1:23" ht="80.099999999999994" customHeight="1" x14ac:dyDescent="0.25">
      <c r="A76" s="41" t="s">
        <v>30</v>
      </c>
      <c r="B76" s="8">
        <v>311</v>
      </c>
      <c r="C76" s="8"/>
      <c r="D76" s="48" t="s">
        <v>837</v>
      </c>
      <c r="E76" s="23" t="s">
        <v>402</v>
      </c>
      <c r="F76" s="23" t="s">
        <v>29</v>
      </c>
      <c r="G76" s="23" t="s">
        <v>6</v>
      </c>
      <c r="H76" s="23" t="s">
        <v>410</v>
      </c>
      <c r="I76" s="24" t="s">
        <v>0</v>
      </c>
      <c r="J76" s="25" t="s">
        <v>838</v>
      </c>
      <c r="K76" s="25">
        <v>8</v>
      </c>
      <c r="L76" s="40">
        <v>3.07</v>
      </c>
      <c r="M76" s="26"/>
      <c r="N76" s="47" t="s">
        <v>19</v>
      </c>
      <c r="O76" s="27">
        <v>4</v>
      </c>
      <c r="P76" s="35" t="s">
        <v>27</v>
      </c>
      <c r="Q76" s="49" t="s">
        <v>364</v>
      </c>
      <c r="R76" s="49" t="s">
        <v>531</v>
      </c>
      <c r="S76" s="74"/>
      <c r="T76" s="34" t="s">
        <v>552</v>
      </c>
      <c r="U76" s="9" t="s">
        <v>553</v>
      </c>
      <c r="V76" s="9" t="s">
        <v>554</v>
      </c>
      <c r="W76" s="9" t="s">
        <v>555</v>
      </c>
    </row>
    <row r="77" spans="1:23" ht="80.099999999999994" customHeight="1" x14ac:dyDescent="0.25">
      <c r="A77" s="41" t="s">
        <v>30</v>
      </c>
      <c r="B77" s="8">
        <v>312</v>
      </c>
      <c r="C77" s="8"/>
      <c r="D77" s="48" t="s">
        <v>839</v>
      </c>
      <c r="E77" s="23" t="s">
        <v>403</v>
      </c>
      <c r="F77" s="23" t="s">
        <v>5</v>
      </c>
      <c r="G77" s="23" t="s">
        <v>9</v>
      </c>
      <c r="H77" s="23" t="s">
        <v>411</v>
      </c>
      <c r="I77" s="24">
        <v>10</v>
      </c>
      <c r="J77" s="25" t="s">
        <v>840</v>
      </c>
      <c r="K77" s="25">
        <v>4.5</v>
      </c>
      <c r="L77" s="40">
        <v>0.13</v>
      </c>
      <c r="M77" s="26"/>
      <c r="N77" s="47" t="s">
        <v>19</v>
      </c>
      <c r="O77" s="27">
        <v>4</v>
      </c>
      <c r="P77" s="35" t="s">
        <v>27</v>
      </c>
      <c r="Q77" s="49" t="s">
        <v>339</v>
      </c>
      <c r="R77" s="49" t="s">
        <v>532</v>
      </c>
      <c r="S77" s="74"/>
      <c r="T77" s="34" t="s">
        <v>556</v>
      </c>
      <c r="U77" s="9" t="s">
        <v>557</v>
      </c>
      <c r="V77" s="9" t="s">
        <v>558</v>
      </c>
      <c r="W77" s="9" t="s">
        <v>559</v>
      </c>
    </row>
    <row r="78" spans="1:23" ht="80.099999999999994" customHeight="1" x14ac:dyDescent="0.25">
      <c r="A78" s="41" t="s">
        <v>30</v>
      </c>
      <c r="B78" s="8">
        <v>313</v>
      </c>
      <c r="C78" s="8"/>
      <c r="D78" s="48" t="s">
        <v>841</v>
      </c>
      <c r="E78" s="23" t="s">
        <v>404</v>
      </c>
      <c r="F78" s="23" t="s">
        <v>29</v>
      </c>
      <c r="G78" s="23" t="s">
        <v>6</v>
      </c>
      <c r="H78" s="23" t="s">
        <v>414</v>
      </c>
      <c r="I78" s="24" t="s">
        <v>0</v>
      </c>
      <c r="J78" s="25" t="s">
        <v>842</v>
      </c>
      <c r="K78" s="25">
        <v>5</v>
      </c>
      <c r="L78" s="40">
        <v>0.71</v>
      </c>
      <c r="M78" s="26"/>
      <c r="N78" s="47" t="s">
        <v>19</v>
      </c>
      <c r="O78" s="27">
        <v>4</v>
      </c>
      <c r="P78" s="35" t="s">
        <v>27</v>
      </c>
      <c r="Q78" s="49" t="s">
        <v>397</v>
      </c>
      <c r="R78" s="49" t="s">
        <v>533</v>
      </c>
      <c r="S78" s="74"/>
      <c r="T78" s="34" t="s">
        <v>560</v>
      </c>
      <c r="U78" s="9" t="s">
        <v>561</v>
      </c>
      <c r="V78" s="9" t="s">
        <v>562</v>
      </c>
      <c r="W78" s="9" t="s">
        <v>563</v>
      </c>
    </row>
    <row r="79" spans="1:23" ht="80.099999999999994" customHeight="1" x14ac:dyDescent="0.25">
      <c r="A79" s="41" t="s">
        <v>30</v>
      </c>
      <c r="B79" s="8">
        <v>314</v>
      </c>
      <c r="C79" s="8"/>
      <c r="D79" s="48" t="s">
        <v>843</v>
      </c>
      <c r="E79" s="23" t="s">
        <v>534</v>
      </c>
      <c r="F79" s="23" t="s">
        <v>5</v>
      </c>
      <c r="G79" s="23" t="s">
        <v>9</v>
      </c>
      <c r="H79" s="23" t="s">
        <v>412</v>
      </c>
      <c r="I79" s="24">
        <v>10</v>
      </c>
      <c r="J79" s="25" t="s">
        <v>844</v>
      </c>
      <c r="K79" s="25">
        <v>4</v>
      </c>
      <c r="L79" s="40">
        <v>0.17</v>
      </c>
      <c r="M79" s="26"/>
      <c r="N79" s="47" t="s">
        <v>19</v>
      </c>
      <c r="O79" s="27">
        <v>4</v>
      </c>
      <c r="P79" s="35" t="s">
        <v>27</v>
      </c>
      <c r="Q79" s="49" t="s">
        <v>391</v>
      </c>
      <c r="R79" s="49" t="s">
        <v>535</v>
      </c>
      <c r="S79" s="74"/>
      <c r="T79" s="34" t="s">
        <v>564</v>
      </c>
      <c r="U79" s="9" t="s">
        <v>565</v>
      </c>
      <c r="V79" s="9" t="s">
        <v>566</v>
      </c>
      <c r="W79" s="9" t="s">
        <v>567</v>
      </c>
    </row>
    <row r="80" spans="1:23" x14ac:dyDescent="0.25">
      <c r="A80" s="76"/>
      <c r="B80" s="77"/>
      <c r="C80" s="77"/>
      <c r="D80" s="78" t="s">
        <v>845</v>
      </c>
      <c r="E80" s="79"/>
      <c r="F80" s="79"/>
      <c r="G80" s="79"/>
      <c r="H80" s="79"/>
      <c r="I80" s="80"/>
      <c r="J80" s="81"/>
      <c r="K80" s="81"/>
      <c r="L80" s="82"/>
      <c r="M80" s="83"/>
      <c r="N80" s="84"/>
      <c r="O80" s="84"/>
      <c r="P80" s="85"/>
      <c r="Q80" s="79"/>
      <c r="R80" s="79"/>
      <c r="S80" s="74"/>
      <c r="T80" s="84"/>
      <c r="U80" s="84"/>
      <c r="V80" s="84"/>
      <c r="W80" s="84"/>
    </row>
    <row r="81" spans="1:23" ht="80.099999999999994" customHeight="1" x14ac:dyDescent="0.25">
      <c r="A81" s="61" t="s">
        <v>30</v>
      </c>
      <c r="B81" s="62">
        <v>423</v>
      </c>
      <c r="C81" s="62"/>
      <c r="D81" s="50" t="s">
        <v>846</v>
      </c>
      <c r="E81" s="28" t="s">
        <v>107</v>
      </c>
      <c r="F81" s="28" t="s">
        <v>112</v>
      </c>
      <c r="G81" s="28" t="s">
        <v>239</v>
      </c>
      <c r="H81" s="28" t="s">
        <v>316</v>
      </c>
      <c r="I81" s="51">
        <v>10</v>
      </c>
      <c r="J81" s="29" t="s">
        <v>847</v>
      </c>
      <c r="K81" s="29">
        <v>6</v>
      </c>
      <c r="L81" s="39">
        <v>4.9800000000000004</v>
      </c>
      <c r="M81" s="30" t="s">
        <v>261</v>
      </c>
      <c r="N81" s="31" t="s">
        <v>28</v>
      </c>
      <c r="O81" s="31">
        <v>6</v>
      </c>
      <c r="P81" s="31" t="s">
        <v>27</v>
      </c>
      <c r="Q81" s="28" t="s">
        <v>42</v>
      </c>
      <c r="R81" s="28" t="s">
        <v>114</v>
      </c>
      <c r="S81" s="74"/>
      <c r="T81" s="46" t="s">
        <v>230</v>
      </c>
      <c r="U81" s="46" t="s">
        <v>231</v>
      </c>
      <c r="V81" s="46" t="s">
        <v>232</v>
      </c>
      <c r="W81" s="46" t="s">
        <v>233</v>
      </c>
    </row>
    <row r="82" spans="1:23" ht="80.099999999999994" customHeight="1" x14ac:dyDescent="0.25">
      <c r="A82" s="61" t="s">
        <v>30</v>
      </c>
      <c r="B82" s="62">
        <v>424</v>
      </c>
      <c r="C82" s="62"/>
      <c r="D82" s="50" t="s">
        <v>848</v>
      </c>
      <c r="E82" s="28" t="s">
        <v>108</v>
      </c>
      <c r="F82" s="28" t="s">
        <v>112</v>
      </c>
      <c r="G82" s="28" t="s">
        <v>9</v>
      </c>
      <c r="H82" s="28" t="s">
        <v>316</v>
      </c>
      <c r="I82" s="51">
        <v>10</v>
      </c>
      <c r="J82" s="29" t="s">
        <v>849</v>
      </c>
      <c r="K82" s="29">
        <v>6</v>
      </c>
      <c r="L82" s="39">
        <v>2</v>
      </c>
      <c r="M82" s="30" t="s">
        <v>261</v>
      </c>
      <c r="N82" s="31" t="s">
        <v>28</v>
      </c>
      <c r="O82" s="31">
        <v>6</v>
      </c>
      <c r="P82" s="31" t="s">
        <v>27</v>
      </c>
      <c r="Q82" s="28" t="s">
        <v>115</v>
      </c>
      <c r="R82" s="28" t="s">
        <v>319</v>
      </c>
      <c r="S82" s="74"/>
      <c r="T82" s="46" t="s">
        <v>572</v>
      </c>
      <c r="U82" s="46" t="s">
        <v>573</v>
      </c>
      <c r="V82" s="46" t="s">
        <v>574</v>
      </c>
      <c r="W82" s="46" t="s">
        <v>575</v>
      </c>
    </row>
    <row r="83" spans="1:23" ht="80.099999999999994" customHeight="1" x14ac:dyDescent="0.25">
      <c r="A83" s="61" t="s">
        <v>30</v>
      </c>
      <c r="B83" s="62">
        <v>425</v>
      </c>
      <c r="C83" s="62"/>
      <c r="D83" s="50" t="s">
        <v>850</v>
      </c>
      <c r="E83" s="28" t="s">
        <v>305</v>
      </c>
      <c r="F83" s="28" t="s">
        <v>112</v>
      </c>
      <c r="G83" s="28" t="s">
        <v>9</v>
      </c>
      <c r="H83" s="28" t="s">
        <v>316</v>
      </c>
      <c r="I83" s="51">
        <v>10</v>
      </c>
      <c r="J83" s="29" t="s">
        <v>851</v>
      </c>
      <c r="K83" s="29">
        <v>5.5</v>
      </c>
      <c r="L83" s="39">
        <v>1.57</v>
      </c>
      <c r="M83" s="30" t="s">
        <v>261</v>
      </c>
      <c r="N83" s="31" t="s">
        <v>28</v>
      </c>
      <c r="O83" s="31">
        <v>6</v>
      </c>
      <c r="P83" s="31" t="s">
        <v>27</v>
      </c>
      <c r="Q83" s="28" t="s">
        <v>322</v>
      </c>
      <c r="R83" s="28" t="s">
        <v>320</v>
      </c>
      <c r="S83" s="74"/>
      <c r="T83" s="46" t="s">
        <v>576</v>
      </c>
      <c r="U83" s="46" t="s">
        <v>577</v>
      </c>
      <c r="V83" s="46" t="s">
        <v>578</v>
      </c>
      <c r="W83" s="46" t="s">
        <v>579</v>
      </c>
    </row>
    <row r="84" spans="1:23" ht="80.099999999999994" customHeight="1" x14ac:dyDescent="0.25">
      <c r="A84" s="61" t="s">
        <v>30</v>
      </c>
      <c r="B84" s="62">
        <v>426</v>
      </c>
      <c r="C84" s="62"/>
      <c r="D84" s="50" t="s">
        <v>852</v>
      </c>
      <c r="E84" s="28" t="s">
        <v>306</v>
      </c>
      <c r="F84" s="28" t="s">
        <v>112</v>
      </c>
      <c r="G84" s="28" t="s">
        <v>9</v>
      </c>
      <c r="H84" s="28" t="s">
        <v>316</v>
      </c>
      <c r="I84" s="51">
        <v>10</v>
      </c>
      <c r="J84" s="29" t="s">
        <v>853</v>
      </c>
      <c r="K84" s="29">
        <v>5.5</v>
      </c>
      <c r="L84" s="39">
        <v>0.34</v>
      </c>
      <c r="M84" s="30" t="s">
        <v>261</v>
      </c>
      <c r="N84" s="31" t="s">
        <v>28</v>
      </c>
      <c r="O84" s="31">
        <v>6</v>
      </c>
      <c r="P84" s="31" t="s">
        <v>27</v>
      </c>
      <c r="Q84" s="28" t="s">
        <v>115</v>
      </c>
      <c r="R84" s="28" t="s">
        <v>321</v>
      </c>
      <c r="S84" s="74"/>
      <c r="T84" s="46" t="s">
        <v>580</v>
      </c>
      <c r="U84" s="46" t="s">
        <v>581</v>
      </c>
      <c r="V84" s="46" t="s">
        <v>582</v>
      </c>
      <c r="W84" s="46" t="s">
        <v>583</v>
      </c>
    </row>
    <row r="85" spans="1:23" ht="80.099999999999994" customHeight="1" x14ac:dyDescent="0.25">
      <c r="A85" s="61" t="s">
        <v>30</v>
      </c>
      <c r="B85" s="62">
        <v>427</v>
      </c>
      <c r="C85" s="62"/>
      <c r="D85" s="50" t="s">
        <v>854</v>
      </c>
      <c r="E85" s="28" t="s">
        <v>249</v>
      </c>
      <c r="F85" s="28" t="s">
        <v>112</v>
      </c>
      <c r="G85" s="28" t="s">
        <v>239</v>
      </c>
      <c r="H85" s="28" t="s">
        <v>316</v>
      </c>
      <c r="I85" s="51">
        <v>10</v>
      </c>
      <c r="J85" s="29" t="s">
        <v>855</v>
      </c>
      <c r="K85" s="29">
        <v>3</v>
      </c>
      <c r="L85" s="39">
        <v>0.14000000000000001</v>
      </c>
      <c r="M85" s="30" t="s">
        <v>253</v>
      </c>
      <c r="N85" s="31" t="s">
        <v>28</v>
      </c>
      <c r="O85" s="31">
        <v>6</v>
      </c>
      <c r="P85" s="31" t="s">
        <v>27</v>
      </c>
      <c r="Q85" s="28" t="s">
        <v>248</v>
      </c>
      <c r="R85" s="28" t="s">
        <v>325</v>
      </c>
      <c r="S85" s="74"/>
      <c r="T85" s="46" t="s">
        <v>584</v>
      </c>
      <c r="U85" s="46" t="s">
        <v>585</v>
      </c>
      <c r="V85" s="46" t="s">
        <v>586</v>
      </c>
      <c r="W85" s="46" t="s">
        <v>587</v>
      </c>
    </row>
    <row r="86" spans="1:23" ht="90" x14ac:dyDescent="0.25">
      <c r="A86" s="61" t="s">
        <v>30</v>
      </c>
      <c r="B86" s="62">
        <v>428</v>
      </c>
      <c r="C86" s="62"/>
      <c r="D86" s="50" t="s">
        <v>856</v>
      </c>
      <c r="E86" s="28" t="s">
        <v>251</v>
      </c>
      <c r="F86" s="28" t="s">
        <v>112</v>
      </c>
      <c r="G86" s="28" t="s">
        <v>9</v>
      </c>
      <c r="H86" s="28" t="s">
        <v>317</v>
      </c>
      <c r="I86" s="51">
        <v>10</v>
      </c>
      <c r="J86" s="29" t="s">
        <v>857</v>
      </c>
      <c r="K86" s="29">
        <v>4</v>
      </c>
      <c r="L86" s="29">
        <v>0.5</v>
      </c>
      <c r="M86" s="30" t="s">
        <v>253</v>
      </c>
      <c r="N86" s="31" t="s">
        <v>28</v>
      </c>
      <c r="O86" s="31">
        <v>6</v>
      </c>
      <c r="P86" s="31" t="s">
        <v>27</v>
      </c>
      <c r="Q86" s="28" t="s">
        <v>252</v>
      </c>
      <c r="R86" s="28" t="s">
        <v>326</v>
      </c>
      <c r="S86" s="74"/>
      <c r="T86" s="46" t="s">
        <v>588</v>
      </c>
      <c r="U86" s="46" t="s">
        <v>589</v>
      </c>
      <c r="V86" s="46" t="s">
        <v>590</v>
      </c>
      <c r="W86" s="46" t="s">
        <v>591</v>
      </c>
    </row>
    <row r="87" spans="1:23" ht="80.099999999999994" customHeight="1" x14ac:dyDescent="0.25">
      <c r="A87" s="61" t="s">
        <v>30</v>
      </c>
      <c r="B87" s="62">
        <v>429</v>
      </c>
      <c r="C87" s="62"/>
      <c r="D87" s="50" t="s">
        <v>858</v>
      </c>
      <c r="E87" s="28" t="s">
        <v>250</v>
      </c>
      <c r="F87" s="28" t="s">
        <v>112</v>
      </c>
      <c r="G87" s="28" t="s">
        <v>9</v>
      </c>
      <c r="H87" s="28" t="s">
        <v>317</v>
      </c>
      <c r="I87" s="51">
        <v>10</v>
      </c>
      <c r="J87" s="29" t="s">
        <v>859</v>
      </c>
      <c r="K87" s="29">
        <v>5.5</v>
      </c>
      <c r="L87" s="39">
        <v>1.1000000000000001</v>
      </c>
      <c r="M87" s="30" t="s">
        <v>253</v>
      </c>
      <c r="N87" s="31" t="s">
        <v>28</v>
      </c>
      <c r="O87" s="31">
        <v>6</v>
      </c>
      <c r="P87" s="31" t="s">
        <v>27</v>
      </c>
      <c r="Q87" s="28" t="s">
        <v>88</v>
      </c>
      <c r="R87" s="28" t="s">
        <v>327</v>
      </c>
      <c r="S87" s="74"/>
      <c r="T87" s="46" t="s">
        <v>592</v>
      </c>
      <c r="U87" s="46" t="s">
        <v>593</v>
      </c>
      <c r="V87" s="46" t="s">
        <v>594</v>
      </c>
      <c r="W87" s="46" t="s">
        <v>595</v>
      </c>
    </row>
    <row r="88" spans="1:23" ht="80.099999999999994" customHeight="1" x14ac:dyDescent="0.25">
      <c r="A88" s="61" t="s">
        <v>30</v>
      </c>
      <c r="B88" s="62">
        <v>430</v>
      </c>
      <c r="C88" s="62">
        <v>1</v>
      </c>
      <c r="D88" s="50" t="s">
        <v>860</v>
      </c>
      <c r="E88" s="28" t="s">
        <v>315</v>
      </c>
      <c r="F88" s="28" t="s">
        <v>112</v>
      </c>
      <c r="G88" s="28" t="s">
        <v>9</v>
      </c>
      <c r="H88" s="28" t="s">
        <v>316</v>
      </c>
      <c r="I88" s="51">
        <v>10</v>
      </c>
      <c r="J88" s="29" t="s">
        <v>861</v>
      </c>
      <c r="K88" s="29">
        <v>6</v>
      </c>
      <c r="L88" s="39">
        <v>18.73</v>
      </c>
      <c r="M88" s="30" t="s">
        <v>261</v>
      </c>
      <c r="N88" s="31" t="s">
        <v>28</v>
      </c>
      <c r="O88" s="31">
        <v>6</v>
      </c>
      <c r="P88" s="31" t="s">
        <v>27</v>
      </c>
      <c r="Q88" s="28" t="s">
        <v>115</v>
      </c>
      <c r="R88" s="28" t="s">
        <v>323</v>
      </c>
      <c r="S88" s="74"/>
      <c r="T88" s="46" t="s">
        <v>596</v>
      </c>
      <c r="U88" s="46" t="s">
        <v>597</v>
      </c>
      <c r="V88" s="46" t="s">
        <v>598</v>
      </c>
      <c r="W88" s="46" t="s">
        <v>599</v>
      </c>
    </row>
    <row r="89" spans="1:23" ht="80.099999999999994" customHeight="1" x14ac:dyDescent="0.25">
      <c r="A89" s="61" t="s">
        <v>30</v>
      </c>
      <c r="B89" s="62">
        <v>430</v>
      </c>
      <c r="C89" s="62">
        <v>2</v>
      </c>
      <c r="D89" s="50" t="s">
        <v>862</v>
      </c>
      <c r="E89" s="28" t="s">
        <v>315</v>
      </c>
      <c r="F89" s="28" t="s">
        <v>112</v>
      </c>
      <c r="G89" s="28" t="s">
        <v>9</v>
      </c>
      <c r="H89" s="28" t="s">
        <v>316</v>
      </c>
      <c r="I89" s="51">
        <v>10</v>
      </c>
      <c r="J89" s="29" t="s">
        <v>863</v>
      </c>
      <c r="K89" s="29">
        <v>6</v>
      </c>
      <c r="L89" s="39">
        <v>1.66</v>
      </c>
      <c r="M89" s="30" t="s">
        <v>261</v>
      </c>
      <c r="N89" s="31" t="s">
        <v>28</v>
      </c>
      <c r="O89" s="31">
        <v>6</v>
      </c>
      <c r="P89" s="31" t="s">
        <v>27</v>
      </c>
      <c r="Q89" s="28" t="s">
        <v>324</v>
      </c>
      <c r="R89" s="28" t="s">
        <v>325</v>
      </c>
      <c r="S89" s="74"/>
      <c r="T89" s="46" t="s">
        <v>600</v>
      </c>
      <c r="U89" s="46" t="s">
        <v>601</v>
      </c>
      <c r="V89" s="46" t="s">
        <v>602</v>
      </c>
      <c r="W89" s="46" t="s">
        <v>603</v>
      </c>
    </row>
    <row r="90" spans="1:23" ht="80.099999999999994" customHeight="1" x14ac:dyDescent="0.25">
      <c r="A90" s="61" t="s">
        <v>30</v>
      </c>
      <c r="B90" s="62">
        <v>430</v>
      </c>
      <c r="C90" s="62">
        <v>3</v>
      </c>
      <c r="D90" s="50" t="s">
        <v>864</v>
      </c>
      <c r="E90" s="28" t="s">
        <v>315</v>
      </c>
      <c r="F90" s="28" t="s">
        <v>112</v>
      </c>
      <c r="G90" s="28" t="s">
        <v>9</v>
      </c>
      <c r="H90" s="28" t="s">
        <v>317</v>
      </c>
      <c r="I90" s="51">
        <v>10</v>
      </c>
      <c r="J90" s="29" t="s">
        <v>865</v>
      </c>
      <c r="K90" s="29">
        <v>6</v>
      </c>
      <c r="L90" s="39">
        <v>12.93</v>
      </c>
      <c r="M90" s="30" t="s">
        <v>261</v>
      </c>
      <c r="N90" s="31" t="s">
        <v>28</v>
      </c>
      <c r="O90" s="31">
        <v>6</v>
      </c>
      <c r="P90" s="31" t="s">
        <v>27</v>
      </c>
      <c r="Q90" s="28" t="s">
        <v>328</v>
      </c>
      <c r="R90" s="28" t="s">
        <v>329</v>
      </c>
      <c r="S90" s="74"/>
      <c r="T90" s="46" t="s">
        <v>604</v>
      </c>
      <c r="U90" s="46" t="s">
        <v>605</v>
      </c>
      <c r="V90" s="46" t="s">
        <v>606</v>
      </c>
      <c r="W90" s="46" t="s">
        <v>607</v>
      </c>
    </row>
    <row r="91" spans="1:23" ht="80.099999999999994" customHeight="1" x14ac:dyDescent="0.25">
      <c r="A91" s="61" t="s">
        <v>30</v>
      </c>
      <c r="B91" s="62">
        <v>430</v>
      </c>
      <c r="C91" s="62">
        <v>4</v>
      </c>
      <c r="D91" s="50" t="s">
        <v>866</v>
      </c>
      <c r="E91" s="28" t="s">
        <v>315</v>
      </c>
      <c r="F91" s="28" t="s">
        <v>112</v>
      </c>
      <c r="G91" s="28" t="s">
        <v>9</v>
      </c>
      <c r="H91" s="28" t="s">
        <v>317</v>
      </c>
      <c r="I91" s="51">
        <v>10</v>
      </c>
      <c r="J91" s="29" t="s">
        <v>867</v>
      </c>
      <c r="K91" s="29">
        <v>6</v>
      </c>
      <c r="L91" s="39">
        <v>9.67</v>
      </c>
      <c r="M91" s="30" t="s">
        <v>261</v>
      </c>
      <c r="N91" s="31" t="s">
        <v>28</v>
      </c>
      <c r="O91" s="31">
        <v>6</v>
      </c>
      <c r="P91" s="31" t="s">
        <v>27</v>
      </c>
      <c r="Q91" s="28" t="s">
        <v>329</v>
      </c>
      <c r="R91" s="28" t="s">
        <v>327</v>
      </c>
      <c r="S91" s="74"/>
      <c r="T91" s="46" t="s">
        <v>608</v>
      </c>
      <c r="U91" s="46" t="s">
        <v>609</v>
      </c>
      <c r="V91" s="46" t="s">
        <v>610</v>
      </c>
      <c r="W91" s="46" t="s">
        <v>611</v>
      </c>
    </row>
    <row r="92" spans="1:23" ht="80.099999999999994" customHeight="1" x14ac:dyDescent="0.25">
      <c r="A92" s="61" t="s">
        <v>30</v>
      </c>
      <c r="B92" s="62">
        <v>430</v>
      </c>
      <c r="C92" s="62">
        <v>5</v>
      </c>
      <c r="D92" s="50" t="s">
        <v>868</v>
      </c>
      <c r="E92" s="28" t="s">
        <v>315</v>
      </c>
      <c r="F92" s="28" t="s">
        <v>112</v>
      </c>
      <c r="G92" s="28" t="s">
        <v>9</v>
      </c>
      <c r="H92" s="28" t="s">
        <v>317</v>
      </c>
      <c r="I92" s="51">
        <v>10</v>
      </c>
      <c r="J92" s="29" t="s">
        <v>869</v>
      </c>
      <c r="K92" s="29">
        <v>6</v>
      </c>
      <c r="L92" s="39">
        <v>0.56000000000000005</v>
      </c>
      <c r="M92" s="30" t="s">
        <v>261</v>
      </c>
      <c r="N92" s="31" t="s">
        <v>28</v>
      </c>
      <c r="O92" s="31">
        <v>6</v>
      </c>
      <c r="P92" s="31" t="s">
        <v>27</v>
      </c>
      <c r="Q92" s="28" t="s">
        <v>365</v>
      </c>
      <c r="R92" s="28" t="s">
        <v>330</v>
      </c>
      <c r="S92" s="74"/>
      <c r="T92" s="46" t="s">
        <v>612</v>
      </c>
      <c r="U92" s="46" t="s">
        <v>613</v>
      </c>
      <c r="V92" s="46" t="s">
        <v>614</v>
      </c>
      <c r="W92" s="46" t="s">
        <v>615</v>
      </c>
    </row>
    <row r="93" spans="1:23" ht="80.099999999999994" customHeight="1" x14ac:dyDescent="0.25">
      <c r="A93" s="61" t="s">
        <v>30</v>
      </c>
      <c r="B93" s="62">
        <v>430</v>
      </c>
      <c r="C93" s="62">
        <v>6</v>
      </c>
      <c r="D93" s="50" t="s">
        <v>870</v>
      </c>
      <c r="E93" s="28" t="s">
        <v>315</v>
      </c>
      <c r="F93" s="28" t="s">
        <v>112</v>
      </c>
      <c r="G93" s="28" t="s">
        <v>9</v>
      </c>
      <c r="H93" s="28" t="s">
        <v>317</v>
      </c>
      <c r="I93" s="51">
        <v>10</v>
      </c>
      <c r="J93" s="29" t="s">
        <v>871</v>
      </c>
      <c r="K93" s="29">
        <v>6</v>
      </c>
      <c r="L93" s="39">
        <v>6.77</v>
      </c>
      <c r="M93" s="30" t="s">
        <v>261</v>
      </c>
      <c r="N93" s="31" t="s">
        <v>28</v>
      </c>
      <c r="O93" s="31">
        <v>6</v>
      </c>
      <c r="P93" s="31" t="s">
        <v>27</v>
      </c>
      <c r="Q93" s="28" t="s">
        <v>331</v>
      </c>
      <c r="R93" s="28" t="s">
        <v>364</v>
      </c>
      <c r="S93" s="74"/>
      <c r="T93" s="46" t="s">
        <v>616</v>
      </c>
      <c r="U93" s="46" t="s">
        <v>617</v>
      </c>
      <c r="V93" s="46" t="s">
        <v>618</v>
      </c>
      <c r="W93" s="46" t="s">
        <v>619</v>
      </c>
    </row>
    <row r="94" spans="1:23" ht="80.099999999999994" customHeight="1" x14ac:dyDescent="0.25">
      <c r="A94" s="61" t="s">
        <v>30</v>
      </c>
      <c r="B94" s="62">
        <v>430</v>
      </c>
      <c r="C94" s="62">
        <v>7</v>
      </c>
      <c r="D94" s="50" t="s">
        <v>872</v>
      </c>
      <c r="E94" s="28" t="s">
        <v>315</v>
      </c>
      <c r="F94" s="28" t="s">
        <v>112</v>
      </c>
      <c r="G94" s="28" t="s">
        <v>9</v>
      </c>
      <c r="H94" s="28" t="s">
        <v>318</v>
      </c>
      <c r="I94" s="51">
        <v>10</v>
      </c>
      <c r="J94" s="29" t="s">
        <v>873</v>
      </c>
      <c r="K94" s="29">
        <v>6</v>
      </c>
      <c r="L94" s="39">
        <v>36.67</v>
      </c>
      <c r="M94" s="30" t="s">
        <v>261</v>
      </c>
      <c r="N94" s="31" t="s">
        <v>28</v>
      </c>
      <c r="O94" s="31">
        <v>6</v>
      </c>
      <c r="P94" s="31" t="s">
        <v>27</v>
      </c>
      <c r="Q94" s="28" t="s">
        <v>332</v>
      </c>
      <c r="R94" s="28" t="s">
        <v>333</v>
      </c>
      <c r="S94" s="74"/>
      <c r="T94" s="46" t="s">
        <v>620</v>
      </c>
      <c r="U94" s="46" t="s">
        <v>621</v>
      </c>
      <c r="V94" s="46" t="s">
        <v>622</v>
      </c>
      <c r="W94" s="46" t="s">
        <v>623</v>
      </c>
    </row>
    <row r="95" spans="1:23" ht="80.099999999999994" customHeight="1" x14ac:dyDescent="0.25">
      <c r="A95" s="61" t="s">
        <v>30</v>
      </c>
      <c r="B95" s="62">
        <v>431</v>
      </c>
      <c r="C95" s="62"/>
      <c r="D95" s="50" t="s">
        <v>874</v>
      </c>
      <c r="E95" s="28" t="s">
        <v>242</v>
      </c>
      <c r="F95" s="28" t="s">
        <v>112</v>
      </c>
      <c r="G95" s="28" t="s">
        <v>9</v>
      </c>
      <c r="H95" s="28" t="s">
        <v>317</v>
      </c>
      <c r="I95" s="51">
        <v>10</v>
      </c>
      <c r="J95" s="29" t="s">
        <v>875</v>
      </c>
      <c r="K95" s="29">
        <v>3</v>
      </c>
      <c r="L95" s="39">
        <v>0.85</v>
      </c>
      <c r="M95" s="30" t="s">
        <v>253</v>
      </c>
      <c r="N95" s="31" t="s">
        <v>28</v>
      </c>
      <c r="O95" s="31">
        <v>6</v>
      </c>
      <c r="P95" s="31" t="s">
        <v>27</v>
      </c>
      <c r="Q95" s="28" t="s">
        <v>366</v>
      </c>
      <c r="R95" s="28" t="s">
        <v>334</v>
      </c>
      <c r="S95" s="74"/>
      <c r="T95" s="46" t="s">
        <v>624</v>
      </c>
      <c r="U95" s="46" t="s">
        <v>625</v>
      </c>
      <c r="V95" s="46" t="s">
        <v>626</v>
      </c>
      <c r="W95" s="46" t="s">
        <v>627</v>
      </c>
    </row>
    <row r="96" spans="1:23" ht="80.099999999999994" customHeight="1" x14ac:dyDescent="0.25">
      <c r="A96" s="61" t="s">
        <v>30</v>
      </c>
      <c r="B96" s="62">
        <v>432</v>
      </c>
      <c r="C96" s="62"/>
      <c r="D96" s="50" t="s">
        <v>876</v>
      </c>
      <c r="E96" s="28" t="s">
        <v>432</v>
      </c>
      <c r="F96" s="28" t="s">
        <v>112</v>
      </c>
      <c r="G96" s="28" t="s">
        <v>9</v>
      </c>
      <c r="H96" s="28" t="s">
        <v>317</v>
      </c>
      <c r="I96" s="51">
        <v>10</v>
      </c>
      <c r="J96" s="29" t="s">
        <v>877</v>
      </c>
      <c r="K96" s="29">
        <v>4</v>
      </c>
      <c r="L96" s="39">
        <v>0.4</v>
      </c>
      <c r="M96" s="30" t="s">
        <v>568</v>
      </c>
      <c r="N96" s="31" t="s">
        <v>28</v>
      </c>
      <c r="O96" s="31">
        <v>6</v>
      </c>
      <c r="P96" s="31" t="s">
        <v>27</v>
      </c>
      <c r="Q96" s="28" t="s">
        <v>300</v>
      </c>
      <c r="R96" s="28" t="s">
        <v>335</v>
      </c>
      <c r="S96" s="74"/>
      <c r="T96" s="46" t="s">
        <v>628</v>
      </c>
      <c r="U96" s="46" t="s">
        <v>629</v>
      </c>
      <c r="V96" s="46" t="s">
        <v>630</v>
      </c>
      <c r="W96" s="46" t="s">
        <v>631</v>
      </c>
    </row>
    <row r="97" spans="1:23" ht="80.099999999999994" customHeight="1" x14ac:dyDescent="0.25">
      <c r="A97" s="61" t="s">
        <v>30</v>
      </c>
      <c r="B97" s="62">
        <v>433</v>
      </c>
      <c r="C97" s="62"/>
      <c r="D97" s="50" t="s">
        <v>878</v>
      </c>
      <c r="E97" s="28" t="s">
        <v>307</v>
      </c>
      <c r="F97" s="28" t="s">
        <v>112</v>
      </c>
      <c r="G97" s="28" t="s">
        <v>9</v>
      </c>
      <c r="H97" s="28" t="s">
        <v>317</v>
      </c>
      <c r="I97" s="51">
        <v>10</v>
      </c>
      <c r="J97" s="29" t="s">
        <v>879</v>
      </c>
      <c r="K97" s="29">
        <v>7</v>
      </c>
      <c r="L97" s="39">
        <v>0.34</v>
      </c>
      <c r="M97" s="30" t="s">
        <v>261</v>
      </c>
      <c r="N97" s="31" t="s">
        <v>28</v>
      </c>
      <c r="O97" s="31">
        <v>6</v>
      </c>
      <c r="P97" s="31" t="s">
        <v>27</v>
      </c>
      <c r="Q97" s="28" t="s">
        <v>367</v>
      </c>
      <c r="R97" s="28" t="s">
        <v>336</v>
      </c>
      <c r="S97" s="74"/>
      <c r="T97" s="46" t="s">
        <v>632</v>
      </c>
      <c r="U97" s="46" t="s">
        <v>633</v>
      </c>
      <c r="V97" s="46" t="s">
        <v>634</v>
      </c>
      <c r="W97" s="46" t="s">
        <v>635</v>
      </c>
    </row>
    <row r="98" spans="1:23" ht="80.099999999999994" customHeight="1" x14ac:dyDescent="0.25">
      <c r="A98" s="61" t="s">
        <v>30</v>
      </c>
      <c r="B98" s="62">
        <v>434</v>
      </c>
      <c r="C98" s="62"/>
      <c r="D98" s="50" t="s">
        <v>880</v>
      </c>
      <c r="E98" s="28" t="s">
        <v>308</v>
      </c>
      <c r="F98" s="28" t="s">
        <v>112</v>
      </c>
      <c r="G98" s="28" t="s">
        <v>9</v>
      </c>
      <c r="H98" s="28" t="s">
        <v>317</v>
      </c>
      <c r="I98" s="51">
        <v>10</v>
      </c>
      <c r="J98" s="29" t="s">
        <v>881</v>
      </c>
      <c r="K98" s="29">
        <v>3</v>
      </c>
      <c r="L98" s="39">
        <v>0.14000000000000001</v>
      </c>
      <c r="M98" s="30" t="s">
        <v>261</v>
      </c>
      <c r="N98" s="31" t="s">
        <v>28</v>
      </c>
      <c r="O98" s="31">
        <v>6</v>
      </c>
      <c r="P98" s="31" t="s">
        <v>27</v>
      </c>
      <c r="Q98" s="28" t="s">
        <v>337</v>
      </c>
      <c r="R98" s="28" t="s">
        <v>338</v>
      </c>
      <c r="S98" s="74"/>
      <c r="T98" s="46" t="s">
        <v>634</v>
      </c>
      <c r="U98" s="46" t="s">
        <v>635</v>
      </c>
      <c r="V98" s="46" t="s">
        <v>636</v>
      </c>
      <c r="W98" s="46" t="s">
        <v>637</v>
      </c>
    </row>
    <row r="99" spans="1:23" ht="80.099999999999994" customHeight="1" x14ac:dyDescent="0.25">
      <c r="A99" s="61" t="s">
        <v>30</v>
      </c>
      <c r="B99" s="62">
        <v>435</v>
      </c>
      <c r="C99" s="62"/>
      <c r="D99" s="50" t="s">
        <v>882</v>
      </c>
      <c r="E99" s="28" t="s">
        <v>309</v>
      </c>
      <c r="F99" s="28" t="s">
        <v>112</v>
      </c>
      <c r="G99" s="28" t="s">
        <v>9</v>
      </c>
      <c r="H99" s="28" t="s">
        <v>317</v>
      </c>
      <c r="I99" s="51">
        <v>10</v>
      </c>
      <c r="J99" s="29" t="s">
        <v>883</v>
      </c>
      <c r="K99" s="29">
        <v>4</v>
      </c>
      <c r="L99" s="39">
        <v>0.28999999999999998</v>
      </c>
      <c r="M99" s="30" t="s">
        <v>261</v>
      </c>
      <c r="N99" s="31" t="s">
        <v>28</v>
      </c>
      <c r="O99" s="31">
        <v>6</v>
      </c>
      <c r="P99" s="31" t="s">
        <v>27</v>
      </c>
      <c r="Q99" s="28" t="s">
        <v>367</v>
      </c>
      <c r="R99" s="28" t="s">
        <v>300</v>
      </c>
      <c r="S99" s="74"/>
      <c r="T99" s="46" t="s">
        <v>638</v>
      </c>
      <c r="U99" s="46" t="s">
        <v>639</v>
      </c>
      <c r="V99" s="46" t="s">
        <v>640</v>
      </c>
      <c r="W99" s="46" t="s">
        <v>641</v>
      </c>
    </row>
    <row r="100" spans="1:23" ht="80.099999999999994" customHeight="1" x14ac:dyDescent="0.25">
      <c r="A100" s="61" t="s">
        <v>30</v>
      </c>
      <c r="B100" s="62">
        <v>436</v>
      </c>
      <c r="C100" s="62"/>
      <c r="D100" s="50" t="s">
        <v>884</v>
      </c>
      <c r="E100" s="28" t="s">
        <v>313</v>
      </c>
      <c r="F100" s="28" t="s">
        <v>112</v>
      </c>
      <c r="G100" s="28" t="s">
        <v>9</v>
      </c>
      <c r="H100" s="28" t="s">
        <v>317</v>
      </c>
      <c r="I100" s="51">
        <v>10</v>
      </c>
      <c r="J100" s="29" t="s">
        <v>883</v>
      </c>
      <c r="K100" s="29">
        <v>5</v>
      </c>
      <c r="L100" s="39">
        <v>0.3</v>
      </c>
      <c r="M100" s="30" t="s">
        <v>261</v>
      </c>
      <c r="N100" s="31" t="s">
        <v>28</v>
      </c>
      <c r="O100" s="31">
        <v>6</v>
      </c>
      <c r="P100" s="31" t="s">
        <v>27</v>
      </c>
      <c r="Q100" s="28" t="s">
        <v>367</v>
      </c>
      <c r="R100" s="28" t="s">
        <v>300</v>
      </c>
      <c r="S100" s="74"/>
      <c r="T100" s="46" t="s">
        <v>642</v>
      </c>
      <c r="U100" s="46" t="s">
        <v>643</v>
      </c>
      <c r="V100" s="46" t="s">
        <v>644</v>
      </c>
      <c r="W100" s="46" t="s">
        <v>645</v>
      </c>
    </row>
    <row r="101" spans="1:23" ht="80.099999999999994" customHeight="1" x14ac:dyDescent="0.25">
      <c r="A101" s="61" t="s">
        <v>30</v>
      </c>
      <c r="B101" s="62">
        <v>437</v>
      </c>
      <c r="C101" s="62"/>
      <c r="D101" s="50" t="s">
        <v>885</v>
      </c>
      <c r="E101" s="28" t="s">
        <v>310</v>
      </c>
      <c r="F101" s="28" t="s">
        <v>112</v>
      </c>
      <c r="G101" s="28" t="s">
        <v>569</v>
      </c>
      <c r="H101" s="28" t="s">
        <v>318</v>
      </c>
      <c r="I101" s="51">
        <v>10</v>
      </c>
      <c r="J101" s="29" t="s">
        <v>886</v>
      </c>
      <c r="K101" s="29">
        <v>6</v>
      </c>
      <c r="L101" s="39">
        <v>2.4700000000000002</v>
      </c>
      <c r="M101" s="30" t="s">
        <v>261</v>
      </c>
      <c r="N101" s="31" t="s">
        <v>28</v>
      </c>
      <c r="O101" s="31">
        <v>6</v>
      </c>
      <c r="P101" s="31" t="s">
        <v>27</v>
      </c>
      <c r="Q101" s="28" t="s">
        <v>339</v>
      </c>
      <c r="R101" s="28" t="s">
        <v>340</v>
      </c>
      <c r="S101" s="74"/>
      <c r="T101" s="46" t="s">
        <v>646</v>
      </c>
      <c r="U101" s="46" t="s">
        <v>647</v>
      </c>
      <c r="V101" s="46" t="s">
        <v>648</v>
      </c>
      <c r="W101" s="46" t="s">
        <v>649</v>
      </c>
    </row>
    <row r="102" spans="1:23" ht="80.099999999999994" customHeight="1" x14ac:dyDescent="0.25">
      <c r="A102" s="61" t="s">
        <v>30</v>
      </c>
      <c r="B102" s="62">
        <v>438</v>
      </c>
      <c r="C102" s="62"/>
      <c r="D102" s="50" t="s">
        <v>887</v>
      </c>
      <c r="E102" s="28" t="s">
        <v>311</v>
      </c>
      <c r="F102" s="28" t="s">
        <v>112</v>
      </c>
      <c r="G102" s="28" t="s">
        <v>239</v>
      </c>
      <c r="H102" s="28" t="s">
        <v>318</v>
      </c>
      <c r="I102" s="51">
        <v>10</v>
      </c>
      <c r="J102" s="29" t="s">
        <v>888</v>
      </c>
      <c r="K102" s="29">
        <v>7</v>
      </c>
      <c r="L102" s="39">
        <v>0.06</v>
      </c>
      <c r="M102" s="30" t="s">
        <v>261</v>
      </c>
      <c r="N102" s="31" t="s">
        <v>28</v>
      </c>
      <c r="O102" s="31">
        <v>6</v>
      </c>
      <c r="P102" s="31" t="s">
        <v>27</v>
      </c>
      <c r="Q102" s="28" t="s">
        <v>341</v>
      </c>
      <c r="R102" s="28" t="s">
        <v>342</v>
      </c>
      <c r="S102" s="74"/>
      <c r="T102" s="46" t="s">
        <v>650</v>
      </c>
      <c r="U102" s="46" t="s">
        <v>651</v>
      </c>
      <c r="V102" s="46" t="s">
        <v>652</v>
      </c>
      <c r="W102" s="46" t="s">
        <v>653</v>
      </c>
    </row>
    <row r="103" spans="1:23" ht="80.099999999999994" customHeight="1" x14ac:dyDescent="0.25">
      <c r="A103" s="61" t="s">
        <v>30</v>
      </c>
      <c r="B103" s="62">
        <v>439</v>
      </c>
      <c r="C103" s="62"/>
      <c r="D103" s="50" t="s">
        <v>889</v>
      </c>
      <c r="E103" s="28" t="s">
        <v>312</v>
      </c>
      <c r="F103" s="28" t="s">
        <v>112</v>
      </c>
      <c r="G103" s="28" t="s">
        <v>9</v>
      </c>
      <c r="H103" s="28" t="s">
        <v>318</v>
      </c>
      <c r="I103" s="51">
        <v>10</v>
      </c>
      <c r="J103" s="29" t="s">
        <v>890</v>
      </c>
      <c r="K103" s="29">
        <v>5</v>
      </c>
      <c r="L103" s="39">
        <v>2.262</v>
      </c>
      <c r="M103" s="30" t="s">
        <v>261</v>
      </c>
      <c r="N103" s="31" t="s">
        <v>28</v>
      </c>
      <c r="O103" s="31">
        <v>6</v>
      </c>
      <c r="P103" s="31" t="s">
        <v>27</v>
      </c>
      <c r="Q103" s="28" t="s">
        <v>341</v>
      </c>
      <c r="R103" s="28" t="s">
        <v>300</v>
      </c>
      <c r="S103" s="74"/>
      <c r="T103" s="46" t="s">
        <v>654</v>
      </c>
      <c r="U103" s="46" t="s">
        <v>655</v>
      </c>
      <c r="V103" s="46" t="s">
        <v>656</v>
      </c>
      <c r="W103" s="46" t="s">
        <v>657</v>
      </c>
    </row>
    <row r="104" spans="1:23" ht="80.099999999999994" customHeight="1" x14ac:dyDescent="0.25">
      <c r="A104" s="61" t="s">
        <v>30</v>
      </c>
      <c r="B104" s="62">
        <v>440</v>
      </c>
      <c r="C104" s="62"/>
      <c r="D104" s="50" t="s">
        <v>891</v>
      </c>
      <c r="E104" s="28" t="s">
        <v>314</v>
      </c>
      <c r="F104" s="28" t="s">
        <v>112</v>
      </c>
      <c r="G104" s="28" t="s">
        <v>9</v>
      </c>
      <c r="H104" s="28" t="s">
        <v>318</v>
      </c>
      <c r="I104" s="51">
        <v>10</v>
      </c>
      <c r="J104" s="29" t="s">
        <v>892</v>
      </c>
      <c r="K104" s="29">
        <v>4</v>
      </c>
      <c r="L104" s="39">
        <v>0.28999999999999998</v>
      </c>
      <c r="M104" s="30" t="s">
        <v>261</v>
      </c>
      <c r="N104" s="31" t="s">
        <v>28</v>
      </c>
      <c r="O104" s="31">
        <v>6</v>
      </c>
      <c r="P104" s="31" t="s">
        <v>27</v>
      </c>
      <c r="Q104" s="28" t="s">
        <v>368</v>
      </c>
      <c r="R104" s="28" t="s">
        <v>343</v>
      </c>
      <c r="S104" s="74"/>
      <c r="T104" s="46" t="s">
        <v>658</v>
      </c>
      <c r="U104" s="46" t="s">
        <v>659</v>
      </c>
      <c r="V104" s="46" t="s">
        <v>660</v>
      </c>
      <c r="W104" s="46" t="s">
        <v>661</v>
      </c>
    </row>
    <row r="105" spans="1:23" ht="80.099999999999994" customHeight="1" x14ac:dyDescent="0.25">
      <c r="A105" s="61" t="s">
        <v>30</v>
      </c>
      <c r="B105" s="62">
        <v>441</v>
      </c>
      <c r="C105" s="62"/>
      <c r="D105" s="50" t="s">
        <v>893</v>
      </c>
      <c r="E105" s="28" t="s">
        <v>424</v>
      </c>
      <c r="F105" s="28" t="s">
        <v>112</v>
      </c>
      <c r="G105" s="28" t="s">
        <v>9</v>
      </c>
      <c r="H105" s="28" t="s">
        <v>318</v>
      </c>
      <c r="I105" s="51">
        <v>10</v>
      </c>
      <c r="J105" s="29" t="s">
        <v>894</v>
      </c>
      <c r="K105" s="29">
        <v>4</v>
      </c>
      <c r="L105" s="39">
        <v>0.2</v>
      </c>
      <c r="M105" s="30" t="s">
        <v>568</v>
      </c>
      <c r="N105" s="31" t="s">
        <v>28</v>
      </c>
      <c r="O105" s="31">
        <v>6</v>
      </c>
      <c r="P105" s="31" t="s">
        <v>27</v>
      </c>
      <c r="Q105" s="28" t="s">
        <v>425</v>
      </c>
      <c r="R105" s="28" t="s">
        <v>426</v>
      </c>
      <c r="S105" s="74"/>
      <c r="T105" s="46" t="s">
        <v>662</v>
      </c>
      <c r="U105" s="46" t="s">
        <v>663</v>
      </c>
      <c r="V105" s="46" t="s">
        <v>664</v>
      </c>
      <c r="W105" s="46" t="s">
        <v>665</v>
      </c>
    </row>
    <row r="106" spans="1:23" ht="80.099999999999994" customHeight="1" x14ac:dyDescent="0.25">
      <c r="A106" s="61" t="s">
        <v>30</v>
      </c>
      <c r="B106" s="62">
        <v>442</v>
      </c>
      <c r="C106" s="62"/>
      <c r="D106" s="50" t="s">
        <v>895</v>
      </c>
      <c r="E106" s="28" t="s">
        <v>698</v>
      </c>
      <c r="F106" s="28" t="s">
        <v>112</v>
      </c>
      <c r="G106" s="28" t="s">
        <v>9</v>
      </c>
      <c r="H106" s="28" t="s">
        <v>316</v>
      </c>
      <c r="I106" s="51">
        <v>10</v>
      </c>
      <c r="J106" s="29" t="s">
        <v>896</v>
      </c>
      <c r="K106" s="29">
        <v>5</v>
      </c>
      <c r="L106" s="39">
        <v>0.15</v>
      </c>
      <c r="M106" s="30" t="s">
        <v>261</v>
      </c>
      <c r="N106" s="31" t="s">
        <v>28</v>
      </c>
      <c r="O106" s="31">
        <v>6</v>
      </c>
      <c r="P106" s="31" t="s">
        <v>27</v>
      </c>
      <c r="Q106" s="28" t="s">
        <v>300</v>
      </c>
      <c r="R106" s="28" t="s">
        <v>328</v>
      </c>
      <c r="S106" s="74"/>
      <c r="T106" s="46" t="s">
        <v>693</v>
      </c>
      <c r="U106" s="46" t="s">
        <v>694</v>
      </c>
      <c r="V106" s="46" t="s">
        <v>695</v>
      </c>
      <c r="W106" s="46" t="s">
        <v>696</v>
      </c>
    </row>
    <row r="107" spans="1:23" ht="80.099999999999994" customHeight="1" x14ac:dyDescent="0.25">
      <c r="A107" s="61" t="s">
        <v>30</v>
      </c>
      <c r="B107" s="62">
        <v>443</v>
      </c>
      <c r="C107" s="62"/>
      <c r="D107" s="50" t="s">
        <v>897</v>
      </c>
      <c r="E107" s="28" t="s">
        <v>699</v>
      </c>
      <c r="F107" s="28" t="s">
        <v>112</v>
      </c>
      <c r="G107" s="28" t="s">
        <v>9</v>
      </c>
      <c r="H107" s="28" t="s">
        <v>317</v>
      </c>
      <c r="I107" s="51">
        <v>10</v>
      </c>
      <c r="J107" s="29" t="s">
        <v>898</v>
      </c>
      <c r="K107" s="29">
        <v>5</v>
      </c>
      <c r="L107" s="39">
        <v>0.34</v>
      </c>
      <c r="M107" s="30" t="s">
        <v>261</v>
      </c>
      <c r="N107" s="31" t="s">
        <v>28</v>
      </c>
      <c r="O107" s="31">
        <v>6</v>
      </c>
      <c r="P107" s="31" t="s">
        <v>27</v>
      </c>
      <c r="Q107" s="28" t="s">
        <v>88</v>
      </c>
      <c r="R107" s="28" t="s">
        <v>300</v>
      </c>
      <c r="S107" s="74"/>
      <c r="T107" s="60" t="s">
        <v>677</v>
      </c>
      <c r="U107" s="60" t="s">
        <v>678</v>
      </c>
      <c r="V107" s="60" t="s">
        <v>679</v>
      </c>
      <c r="W107" s="60" t="s">
        <v>680</v>
      </c>
    </row>
    <row r="109" spans="1:23" ht="80.099999999999994" customHeight="1" x14ac:dyDescent="0.25">
      <c r="A109" s="52" t="s">
        <v>30</v>
      </c>
      <c r="B109" s="53">
        <v>500</v>
      </c>
      <c r="C109" s="53"/>
      <c r="D109" s="54" t="s">
        <v>899</v>
      </c>
      <c r="E109" s="55" t="s">
        <v>419</v>
      </c>
      <c r="F109" s="55" t="s">
        <v>29</v>
      </c>
      <c r="G109" s="55" t="s">
        <v>6</v>
      </c>
      <c r="H109" s="55" t="s">
        <v>420</v>
      </c>
      <c r="I109" s="56" t="s">
        <v>0</v>
      </c>
      <c r="J109" s="57" t="s">
        <v>898</v>
      </c>
      <c r="K109" s="57">
        <v>5</v>
      </c>
      <c r="L109" s="58">
        <v>2.72</v>
      </c>
      <c r="M109" s="59" t="s">
        <v>697</v>
      </c>
      <c r="N109" s="60" t="s">
        <v>240</v>
      </c>
      <c r="O109" s="60">
        <v>5</v>
      </c>
      <c r="P109" s="60" t="s">
        <v>27</v>
      </c>
      <c r="Q109" s="86" t="s">
        <v>88</v>
      </c>
      <c r="R109" s="86" t="s">
        <v>300</v>
      </c>
      <c r="S109" s="74"/>
      <c r="T109" s="60" t="s">
        <v>669</v>
      </c>
      <c r="U109" s="60" t="s">
        <v>670</v>
      </c>
      <c r="V109" s="60" t="s">
        <v>671</v>
      </c>
      <c r="W109" s="60" t="s">
        <v>672</v>
      </c>
    </row>
    <row r="110" spans="1:23" ht="80.099999999999994" customHeight="1" x14ac:dyDescent="0.25">
      <c r="A110" s="52" t="s">
        <v>30</v>
      </c>
      <c r="B110" s="53">
        <v>502</v>
      </c>
      <c r="C110" s="53"/>
      <c r="D110" s="54" t="s">
        <v>900</v>
      </c>
      <c r="E110" s="55" t="s">
        <v>415</v>
      </c>
      <c r="F110" s="55" t="s">
        <v>29</v>
      </c>
      <c r="G110" s="55" t="s">
        <v>6</v>
      </c>
      <c r="H110" s="55" t="s">
        <v>420</v>
      </c>
      <c r="I110" s="56" t="s">
        <v>0</v>
      </c>
      <c r="J110" s="57" t="s">
        <v>901</v>
      </c>
      <c r="K110" s="57">
        <v>5</v>
      </c>
      <c r="L110" s="58">
        <v>0.99</v>
      </c>
      <c r="M110" s="59" t="s">
        <v>568</v>
      </c>
      <c r="N110" s="60" t="s">
        <v>240</v>
      </c>
      <c r="O110" s="60">
        <v>5</v>
      </c>
      <c r="P110" s="60" t="s">
        <v>27</v>
      </c>
      <c r="Q110" s="86" t="s">
        <v>570</v>
      </c>
      <c r="R110" s="86" t="s">
        <v>300</v>
      </c>
      <c r="S110" s="74"/>
      <c r="T110" s="60" t="s">
        <v>673</v>
      </c>
      <c r="U110" s="60" t="s">
        <v>674</v>
      </c>
      <c r="V110" s="60" t="s">
        <v>675</v>
      </c>
      <c r="W110" s="60" t="s">
        <v>676</v>
      </c>
    </row>
    <row r="111" spans="1:23" ht="80.099999999999994" customHeight="1" x14ac:dyDescent="0.25">
      <c r="A111" s="52" t="s">
        <v>30</v>
      </c>
      <c r="B111" s="53">
        <v>504</v>
      </c>
      <c r="C111" s="53"/>
      <c r="D111" s="54" t="s">
        <v>902</v>
      </c>
      <c r="E111" s="55" t="s">
        <v>416</v>
      </c>
      <c r="F111" s="55" t="s">
        <v>29</v>
      </c>
      <c r="G111" s="55" t="s">
        <v>6</v>
      </c>
      <c r="H111" s="55" t="s">
        <v>421</v>
      </c>
      <c r="I111" s="56" t="s">
        <v>0</v>
      </c>
      <c r="J111" s="57" t="s">
        <v>903</v>
      </c>
      <c r="K111" s="57">
        <v>5</v>
      </c>
      <c r="L111" s="58">
        <v>0.68</v>
      </c>
      <c r="M111" s="59" t="s">
        <v>697</v>
      </c>
      <c r="N111" s="60" t="s">
        <v>240</v>
      </c>
      <c r="O111" s="60">
        <v>5</v>
      </c>
      <c r="P111" s="60" t="s">
        <v>27</v>
      </c>
      <c r="Q111" s="86" t="s">
        <v>300</v>
      </c>
      <c r="R111" s="86" t="s">
        <v>571</v>
      </c>
      <c r="S111" s="74"/>
      <c r="T111" s="60" t="s">
        <v>681</v>
      </c>
      <c r="U111" s="60" t="s">
        <v>682</v>
      </c>
      <c r="V111" s="60" t="s">
        <v>683</v>
      </c>
      <c r="W111" s="60" t="s">
        <v>684</v>
      </c>
    </row>
    <row r="112" spans="1:23" ht="80.099999999999994" customHeight="1" x14ac:dyDescent="0.25">
      <c r="A112" s="52" t="s">
        <v>30</v>
      </c>
      <c r="B112" s="53">
        <v>505</v>
      </c>
      <c r="C112" s="53"/>
      <c r="D112" s="54" t="s">
        <v>904</v>
      </c>
      <c r="E112" s="55" t="s">
        <v>417</v>
      </c>
      <c r="F112" s="55" t="s">
        <v>29</v>
      </c>
      <c r="G112" s="55" t="s">
        <v>6</v>
      </c>
      <c r="H112" s="55" t="s">
        <v>422</v>
      </c>
      <c r="I112" s="56" t="s">
        <v>0</v>
      </c>
      <c r="J112" s="57" t="s">
        <v>905</v>
      </c>
      <c r="K112" s="57">
        <v>5</v>
      </c>
      <c r="L112" s="58">
        <v>10.824</v>
      </c>
      <c r="M112" s="59" t="s">
        <v>697</v>
      </c>
      <c r="N112" s="60" t="s">
        <v>240</v>
      </c>
      <c r="O112" s="60">
        <v>5</v>
      </c>
      <c r="P112" s="60" t="s">
        <v>27</v>
      </c>
      <c r="Q112" s="86" t="s">
        <v>292</v>
      </c>
      <c r="R112" s="86" t="s">
        <v>666</v>
      </c>
      <c r="S112" s="74"/>
      <c r="T112" s="60" t="s">
        <v>685</v>
      </c>
      <c r="U112" s="60" t="s">
        <v>686</v>
      </c>
      <c r="V112" s="60" t="s">
        <v>687</v>
      </c>
      <c r="W112" s="60" t="s">
        <v>688</v>
      </c>
    </row>
    <row r="113" spans="1:23" ht="80.099999999999994" customHeight="1" x14ac:dyDescent="0.25">
      <c r="A113" s="52" t="s">
        <v>30</v>
      </c>
      <c r="B113" s="53">
        <v>506</v>
      </c>
      <c r="C113" s="53"/>
      <c r="D113" s="54" t="s">
        <v>906</v>
      </c>
      <c r="E113" s="55" t="s">
        <v>418</v>
      </c>
      <c r="F113" s="55" t="s">
        <v>29</v>
      </c>
      <c r="G113" s="55" t="s">
        <v>6</v>
      </c>
      <c r="H113" s="55" t="s">
        <v>422</v>
      </c>
      <c r="I113" s="56" t="s">
        <v>0</v>
      </c>
      <c r="J113" s="57" t="s">
        <v>907</v>
      </c>
      <c r="K113" s="57">
        <v>4.5</v>
      </c>
      <c r="L113" s="58">
        <v>1.22</v>
      </c>
      <c r="M113" s="59" t="s">
        <v>697</v>
      </c>
      <c r="N113" s="60" t="s">
        <v>240</v>
      </c>
      <c r="O113" s="60">
        <v>5</v>
      </c>
      <c r="P113" s="60" t="s">
        <v>27</v>
      </c>
      <c r="Q113" s="86" t="s">
        <v>667</v>
      </c>
      <c r="R113" s="86" t="s">
        <v>668</v>
      </c>
      <c r="S113" s="74"/>
      <c r="T113" s="60" t="s">
        <v>689</v>
      </c>
      <c r="U113" s="60" t="s">
        <v>690</v>
      </c>
      <c r="V113" s="60" t="s">
        <v>691</v>
      </c>
      <c r="W113" s="60" t="s">
        <v>692</v>
      </c>
    </row>
    <row r="114" spans="1:23" x14ac:dyDescent="0.25">
      <c r="L114" s="65"/>
    </row>
    <row r="117" spans="1:23" x14ac:dyDescent="0.25">
      <c r="H117" s="6">
        <f>COUNTA(H2:H113)</f>
        <v>104</v>
      </c>
      <c r="J117" s="6" t="s">
        <v>32</v>
      </c>
    </row>
    <row r="118" spans="1:23" x14ac:dyDescent="0.25">
      <c r="J118" s="6" t="s">
        <v>33</v>
      </c>
    </row>
    <row r="119" spans="1:23" x14ac:dyDescent="0.25">
      <c r="J119" s="6" t="s">
        <v>34</v>
      </c>
    </row>
    <row r="120" spans="1:23" x14ac:dyDescent="0.25">
      <c r="J120" s="6" t="s">
        <v>35</v>
      </c>
    </row>
    <row r="121" spans="1:23" x14ac:dyDescent="0.25">
      <c r="J121" s="6" t="s">
        <v>113</v>
      </c>
    </row>
    <row r="128" spans="1:23" x14ac:dyDescent="0.25">
      <c r="N128" s="6" t="s">
        <v>27</v>
      </c>
      <c r="P128" s="6">
        <f>COUNTIF(P2:P113,N128)</f>
        <v>102</v>
      </c>
    </row>
    <row r="129" spans="14:16" x14ac:dyDescent="0.25">
      <c r="N129" s="6" t="s">
        <v>431</v>
      </c>
      <c r="P129" s="6">
        <f>COUNTIF(P2:P114,N129)</f>
        <v>2</v>
      </c>
    </row>
  </sheetData>
  <autoFilter ref="A1:P107"/>
  <phoneticPr fontId="3" type="noConversion"/>
  <conditionalFormatting sqref="A2:A8 A17 A18:B104 A109:B113">
    <cfRule type="expression" dxfId="144" priority="122">
      <formula>LEN(TRIM(A2))=0</formula>
    </cfRule>
  </conditionalFormatting>
  <conditionalFormatting sqref="A2:B5">
    <cfRule type="expression" dxfId="143" priority="3485">
      <formula>LEN(TRIM(A2))=0</formula>
    </cfRule>
  </conditionalFormatting>
  <conditionalFormatting sqref="A9:B16">
    <cfRule type="expression" dxfId="142" priority="112">
      <formula>LEN(TRIM(A9))=0</formula>
    </cfRule>
  </conditionalFormatting>
  <conditionalFormatting sqref="B6:B8 B17">
    <cfRule type="expression" dxfId="141" priority="121">
      <formula>LEN(TRIM(B6))=0</formula>
    </cfRule>
  </conditionalFormatting>
  <conditionalFormatting sqref="D2:D104">
    <cfRule type="expression" dxfId="140" priority="114">
      <formula>P2="маршрут есть"</formula>
    </cfRule>
  </conditionalFormatting>
  <conditionalFormatting sqref="D4">
    <cfRule type="duplicateValues" dxfId="139" priority="383"/>
    <cfRule type="duplicateValues" dxfId="138" priority="384"/>
    <cfRule type="duplicateValues" dxfId="137" priority="385"/>
    <cfRule type="duplicateValues" dxfId="136" priority="386"/>
    <cfRule type="duplicateValues" dxfId="135" priority="387"/>
  </conditionalFormatting>
  <conditionalFormatting sqref="D10">
    <cfRule type="duplicateValues" dxfId="134" priority="115"/>
    <cfRule type="duplicateValues" dxfId="133" priority="116"/>
    <cfRule type="duplicateValues" dxfId="132" priority="117"/>
    <cfRule type="duplicateValues" dxfId="131" priority="118"/>
    <cfRule type="duplicateValues" dxfId="130" priority="119"/>
  </conditionalFormatting>
  <conditionalFormatting sqref="D114:D262 D80 D2:D3 D108 D5:D9 D11:D69">
    <cfRule type="duplicateValues" dxfId="129" priority="6365"/>
  </conditionalFormatting>
  <conditionalFormatting sqref="D114:D1048576 D108 D1">
    <cfRule type="duplicateValues" dxfId="128" priority="3965"/>
    <cfRule type="duplicateValues" dxfId="127" priority="3966"/>
    <cfRule type="duplicateValues" dxfId="126" priority="3967"/>
  </conditionalFormatting>
  <conditionalFormatting sqref="E108:R108 E114:R248">
    <cfRule type="expression" dxfId="125" priority="3960">
      <formula>$O108=6</formula>
    </cfRule>
    <cfRule type="expression" dxfId="124" priority="3961">
      <formula>$O108=5</formula>
    </cfRule>
    <cfRule type="expression" dxfId="123" priority="3962">
      <formula>$O108=4</formula>
    </cfRule>
    <cfRule type="expression" dxfId="122" priority="3963">
      <formula>$O108=3</formula>
    </cfRule>
    <cfRule type="expression" dxfId="121" priority="3964">
      <formula>$O108=2</formula>
    </cfRule>
  </conditionalFormatting>
  <conditionalFormatting sqref="Q65:R79 K70:L79 F65:I79">
    <cfRule type="expression" dxfId="120" priority="214">
      <formula>$M65="лесная"</formula>
    </cfRule>
    <cfRule type="expression" dxfId="119" priority="215">
      <formula>$M65="проектируемая"</formula>
    </cfRule>
    <cfRule type="expression" dxfId="118" priority="216">
      <formula>$M65="ведомственная"</formula>
    </cfRule>
    <cfRule type="expression" dxfId="117" priority="217">
      <formula>$M65="частная"</formula>
    </cfRule>
    <cfRule type="expression" dxfId="116" priority="218">
      <formula>$M65="местная"</formula>
    </cfRule>
    <cfRule type="expression" dxfId="115" priority="219">
      <formula>$M65="региональная"</formula>
    </cfRule>
    <cfRule type="expression" dxfId="114" priority="220">
      <formula>$M65="федеральная"</formula>
    </cfRule>
  </conditionalFormatting>
  <conditionalFormatting sqref="G5:G17">
    <cfRule type="expression" dxfId="113" priority="72">
      <formula>$M5="лесная"</formula>
    </cfRule>
    <cfRule type="expression" dxfId="112" priority="73">
      <formula>$M5="проектируемая"</formula>
    </cfRule>
    <cfRule type="expression" dxfId="111" priority="74">
      <formula>$M5="ведомственная"</formula>
    </cfRule>
    <cfRule type="expression" dxfId="110" priority="75">
      <formula>$M5="частная"</formula>
    </cfRule>
    <cfRule type="expression" dxfId="109" priority="76">
      <formula>$M5="местная"</formula>
    </cfRule>
    <cfRule type="expression" dxfId="108" priority="77">
      <formula>$M5="региональная"</formula>
    </cfRule>
    <cfRule type="expression" dxfId="107" priority="78">
      <formula>$M5="федеральная"</formula>
    </cfRule>
  </conditionalFormatting>
  <conditionalFormatting sqref="I2:I4">
    <cfRule type="expression" dxfId="106" priority="375">
      <formula>$M2="лесная"</formula>
    </cfRule>
    <cfRule type="expression" dxfId="105" priority="376">
      <formula>$M2="проектируемая"</formula>
    </cfRule>
    <cfRule type="expression" dxfId="104" priority="377">
      <formula>$M2="ведомственная"</formula>
    </cfRule>
    <cfRule type="expression" dxfId="103" priority="378">
      <formula>$M2="частная"</formula>
    </cfRule>
    <cfRule type="expression" dxfId="102" priority="379">
      <formula>$M2="местная"</formula>
    </cfRule>
    <cfRule type="expression" dxfId="101" priority="380">
      <formula>$M2="региональная"</formula>
    </cfRule>
    <cfRule type="expression" dxfId="100" priority="381">
      <formula>$M2="федеральная"</formula>
    </cfRule>
  </conditionalFormatting>
  <conditionalFormatting sqref="K68:K69">
    <cfRule type="expression" dxfId="99" priority="249">
      <formula>$M68="лесная"</formula>
    </cfRule>
    <cfRule type="expression" dxfId="98" priority="250">
      <formula>$M68="проектируемая"</formula>
    </cfRule>
    <cfRule type="expression" dxfId="97" priority="251">
      <formula>$M68="ведомственная"</formula>
    </cfRule>
    <cfRule type="expression" dxfId="96" priority="252">
      <formula>$M68="частная"</formula>
    </cfRule>
    <cfRule type="expression" dxfId="95" priority="253">
      <formula>$M68="местная"</formula>
    </cfRule>
    <cfRule type="expression" dxfId="94" priority="254">
      <formula>$M68="региональная"</formula>
    </cfRule>
    <cfRule type="expression" dxfId="93" priority="255">
      <formula>$M68="федеральная"</formula>
    </cfRule>
  </conditionalFormatting>
  <conditionalFormatting sqref="K2:L4">
    <cfRule type="expression" dxfId="92" priority="368">
      <formula>$M2="лесная"</formula>
    </cfRule>
    <cfRule type="expression" dxfId="91" priority="369">
      <formula>$M2="проектируемая"</formula>
    </cfRule>
    <cfRule type="expression" dxfId="90" priority="370">
      <formula>$M2="ведомственная"</formula>
    </cfRule>
    <cfRule type="expression" dxfId="89" priority="371">
      <formula>$M2="частная"</formula>
    </cfRule>
    <cfRule type="expression" dxfId="88" priority="372">
      <formula>$M2="местная"</formula>
    </cfRule>
    <cfRule type="expression" dxfId="87" priority="373">
      <formula>$M2="региональная"</formula>
    </cfRule>
    <cfRule type="expression" dxfId="86" priority="374">
      <formula>$M2="федеральная"</formula>
    </cfRule>
  </conditionalFormatting>
  <conditionalFormatting sqref="K65:L67">
    <cfRule type="expression" dxfId="85" priority="277">
      <formula>$M65="лесная"</formula>
    </cfRule>
    <cfRule type="expression" dxfId="84" priority="278">
      <formula>$M65="проектируемая"</formula>
    </cfRule>
    <cfRule type="expression" dxfId="83" priority="279">
      <formula>$M65="ведомственная"</formula>
    </cfRule>
    <cfRule type="expression" dxfId="82" priority="280">
      <formula>$M65="частная"</formula>
    </cfRule>
    <cfRule type="expression" dxfId="81" priority="281">
      <formula>$M65="местная"</formula>
    </cfRule>
    <cfRule type="expression" dxfId="80" priority="282">
      <formula>$M65="региональная"</formula>
    </cfRule>
    <cfRule type="expression" dxfId="79" priority="283">
      <formula>$M65="федеральная"</formula>
    </cfRule>
  </conditionalFormatting>
  <conditionalFormatting sqref="N71:O79">
    <cfRule type="expression" dxfId="78" priority="185">
      <formula>$M71=6</formula>
    </cfRule>
    <cfRule type="expression" dxfId="77" priority="186">
      <formula>$M71=5</formula>
    </cfRule>
    <cfRule type="expression" dxfId="76" priority="187">
      <formula>$M71=4</formula>
    </cfRule>
    <cfRule type="expression" dxfId="75" priority="188">
      <formula>$M71=3</formula>
    </cfRule>
    <cfRule type="expression" dxfId="74" priority="189">
      <formula>$M71=2</formula>
    </cfRule>
    <cfRule type="expression" dxfId="73" priority="190">
      <formula>$M71=6</formula>
    </cfRule>
    <cfRule type="expression" dxfId="72" priority="191">
      <formula>$M71=5</formula>
    </cfRule>
    <cfRule type="expression" dxfId="71" priority="192">
      <formula>$M71=4</formula>
    </cfRule>
    <cfRule type="expression" dxfId="70" priority="193">
      <formula>$M71=3</formula>
    </cfRule>
    <cfRule type="expression" dxfId="69" priority="194">
      <formula>$M71=2</formula>
    </cfRule>
  </conditionalFormatting>
  <conditionalFormatting sqref="P2:P104 P109:P113">
    <cfRule type="cellIs" dxfId="68" priority="79" operator="equal">
      <formula>"маршрут есть"</formula>
    </cfRule>
  </conditionalFormatting>
  <conditionalFormatting sqref="Q2:R4">
    <cfRule type="expression" dxfId="67" priority="361">
      <formula>$M2="лесная"</formula>
    </cfRule>
    <cfRule type="expression" dxfId="66" priority="362">
      <formula>$M2="проектируемая"</formula>
    </cfRule>
    <cfRule type="expression" dxfId="65" priority="363">
      <formula>$M2="ведомственная"</formula>
    </cfRule>
    <cfRule type="expression" dxfId="64" priority="364">
      <formula>$M2="частная"</formula>
    </cfRule>
    <cfRule type="expression" dxfId="63" priority="365">
      <formula>$M2="местная"</formula>
    </cfRule>
    <cfRule type="expression" dxfId="62" priority="366">
      <formula>$M2="региональная"</formula>
    </cfRule>
    <cfRule type="expression" dxfId="61" priority="367">
      <formula>$M2="федеральная"</formula>
    </cfRule>
  </conditionalFormatting>
  <conditionalFormatting sqref="S18:S104 S109:S113">
    <cfRule type="containsText" dxfId="60" priority="128" operator="containsText" text="маршрут есть">
      <formula>NOT(ISERROR(SEARCH("маршрут есть",S18)))</formula>
    </cfRule>
    <cfRule type="containsText" dxfId="59" priority="129" operator="containsText" text="маршрута нету">
      <formula>NOT(ISERROR(SEARCH("маршрута нету",S18)))</formula>
    </cfRule>
  </conditionalFormatting>
  <conditionalFormatting sqref="S2:W17 T18:W104 T109:W113">
    <cfRule type="cellIs" dxfId="58" priority="3618" operator="greaterThan">
      <formula>0</formula>
    </cfRule>
    <cfRule type="cellIs" dxfId="57" priority="3940" operator="greaterThan">
      <formula>0</formula>
    </cfRule>
  </conditionalFormatting>
  <conditionalFormatting sqref="D80 D2:D3 D5:D9 D11:D69">
    <cfRule type="duplicateValues" dxfId="56" priority="6432"/>
    <cfRule type="duplicateValues" dxfId="55" priority="6433"/>
    <cfRule type="duplicateValues" dxfId="54" priority="6434"/>
    <cfRule type="duplicateValues" dxfId="53" priority="6435"/>
  </conditionalFormatting>
  <conditionalFormatting sqref="D81:D104">
    <cfRule type="duplicateValues" dxfId="52" priority="6619"/>
    <cfRule type="duplicateValues" dxfId="51" priority="6620"/>
    <cfRule type="duplicateValues" dxfId="50" priority="6621"/>
    <cfRule type="duplicateValues" dxfId="49" priority="6622"/>
    <cfRule type="duplicateValues" dxfId="48" priority="6623"/>
  </conditionalFormatting>
  <conditionalFormatting sqref="A105:B105">
    <cfRule type="expression" dxfId="47" priority="52">
      <formula>LEN(TRIM(A105))=0</formula>
    </cfRule>
  </conditionalFormatting>
  <conditionalFormatting sqref="D105">
    <cfRule type="expression" dxfId="46" priority="51">
      <formula>P105="маршрут есть"</formula>
    </cfRule>
  </conditionalFormatting>
  <conditionalFormatting sqref="S105:S106">
    <cfRule type="containsText" dxfId="45" priority="53" operator="containsText" text="маршрут есть">
      <formula>NOT(ISERROR(SEARCH("маршрут есть",S105)))</formula>
    </cfRule>
    <cfRule type="containsText" dxfId="44" priority="54" operator="containsText" text="маршрута нету">
      <formula>NOT(ISERROR(SEARCH("маршрута нету",S105)))</formula>
    </cfRule>
  </conditionalFormatting>
  <conditionalFormatting sqref="T105:W106">
    <cfRule type="cellIs" dxfId="43" priority="55" operator="greaterThan">
      <formula>0</formula>
    </cfRule>
    <cfRule type="cellIs" dxfId="42" priority="56" operator="greaterThan">
      <formula>0</formula>
    </cfRule>
  </conditionalFormatting>
  <conditionalFormatting sqref="D105">
    <cfRule type="duplicateValues" dxfId="41" priority="57"/>
    <cfRule type="duplicateValues" dxfId="40" priority="58"/>
    <cfRule type="duplicateValues" dxfId="39" priority="59"/>
    <cfRule type="duplicateValues" dxfId="38" priority="60"/>
    <cfRule type="duplicateValues" dxfId="37" priority="61"/>
  </conditionalFormatting>
  <conditionalFormatting sqref="P105">
    <cfRule type="cellIs" dxfId="36" priority="49" operator="equal">
      <formula>"маршрут есть"</formula>
    </cfRule>
  </conditionalFormatting>
  <conditionalFormatting sqref="D70:D79">
    <cfRule type="duplicateValues" dxfId="35" priority="6821"/>
    <cfRule type="duplicateValues" dxfId="34" priority="6822"/>
    <cfRule type="duplicateValues" dxfId="33" priority="6823"/>
    <cfRule type="duplicateValues" dxfId="32" priority="6824"/>
    <cfRule type="duplicateValues" dxfId="31" priority="6825"/>
  </conditionalFormatting>
  <conditionalFormatting sqref="Q109:R109">
    <cfRule type="cellIs" dxfId="30" priority="48" operator="equal">
      <formula>"маршрут есть"</formula>
    </cfRule>
  </conditionalFormatting>
  <conditionalFormatting sqref="Q110">
    <cfRule type="cellIs" dxfId="29" priority="45" operator="equal">
      <formula>"маршрут есть"</formula>
    </cfRule>
  </conditionalFormatting>
  <conditionalFormatting sqref="R110">
    <cfRule type="cellIs" dxfId="28" priority="44" operator="equal">
      <formula>"маршрут есть"</formula>
    </cfRule>
  </conditionalFormatting>
  <conditionalFormatting sqref="Q111:Q113">
    <cfRule type="cellIs" dxfId="27" priority="41" operator="equal">
      <formula>"маршрут есть"</formula>
    </cfRule>
  </conditionalFormatting>
  <conditionalFormatting sqref="R111:R113">
    <cfRule type="cellIs" dxfId="26" priority="40" operator="equal">
      <formula>"маршрут есть"</formula>
    </cfRule>
  </conditionalFormatting>
  <conditionalFormatting sqref="P106">
    <cfRule type="cellIs" dxfId="25" priority="18" operator="equal">
      <formula>"маршрут есть"</formula>
    </cfRule>
  </conditionalFormatting>
  <conditionalFormatting sqref="A106:B106">
    <cfRule type="expression" dxfId="24" priority="21">
      <formula>LEN(TRIM(A106))=0</formula>
    </cfRule>
  </conditionalFormatting>
  <conditionalFormatting sqref="D106">
    <cfRule type="expression" dxfId="23" priority="20">
      <formula>P106="маршрут есть"</formula>
    </cfRule>
  </conditionalFormatting>
  <conditionalFormatting sqref="D106">
    <cfRule type="duplicateValues" dxfId="22" priority="22"/>
    <cfRule type="duplicateValues" dxfId="21" priority="23"/>
    <cfRule type="duplicateValues" dxfId="20" priority="24"/>
    <cfRule type="duplicateValues" dxfId="19" priority="25"/>
    <cfRule type="duplicateValues" dxfId="18" priority="26"/>
  </conditionalFormatting>
  <conditionalFormatting sqref="S107">
    <cfRule type="containsText" dxfId="17" priority="11" operator="containsText" text="маршрут есть">
      <formula>NOT(ISERROR(SEARCH("маршрут есть",S107)))</formula>
    </cfRule>
    <cfRule type="containsText" dxfId="16" priority="12" operator="containsText" text="маршрута нету">
      <formula>NOT(ISERROR(SEARCH("маршрута нету",S107)))</formula>
    </cfRule>
  </conditionalFormatting>
  <conditionalFormatting sqref="P107">
    <cfRule type="cellIs" dxfId="15" priority="3" operator="equal">
      <formula>"маршрут есть"</formula>
    </cfRule>
  </conditionalFormatting>
  <conditionalFormatting sqref="A107:B107">
    <cfRule type="expression" dxfId="14" priority="5">
      <formula>LEN(TRIM(A107))=0</formula>
    </cfRule>
  </conditionalFormatting>
  <conditionalFormatting sqref="D107">
    <cfRule type="expression" dxfId="13" priority="4">
      <formula>P107="маршрут есть"</formula>
    </cfRule>
  </conditionalFormatting>
  <conditionalFormatting sqref="D107">
    <cfRule type="duplicateValues" dxfId="12" priority="6"/>
    <cfRule type="duplicateValues" dxfId="11" priority="7"/>
    <cfRule type="duplicateValues" dxfId="10" priority="8"/>
    <cfRule type="duplicateValues" dxfId="9" priority="9"/>
    <cfRule type="duplicateValues" dxfId="8" priority="10"/>
  </conditionalFormatting>
  <conditionalFormatting sqref="T107:W107">
    <cfRule type="cellIs" dxfId="7" priority="1" operator="greaterThan">
      <formula>0</formula>
    </cfRule>
    <cfRule type="cellIs" dxfId="6" priority="2" operator="greaterThan">
      <formula>0</formula>
    </cfRule>
  </conditionalFormatting>
  <conditionalFormatting sqref="D109:D113">
    <cfRule type="expression" dxfId="5" priority="6878">
      <formula>P109="маршрут есть"</formula>
    </cfRule>
    <cfRule type="duplicateValues" dxfId="4" priority="6879"/>
    <cfRule type="duplicateValues" dxfId="3" priority="6880"/>
    <cfRule type="duplicateValues" dxfId="2" priority="6881"/>
    <cfRule type="duplicateValues" dxfId="1" priority="6882"/>
    <cfRule type="duplicateValues" dxfId="0" priority="6883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Наташенька</dc:creator>
  <cp:lastModifiedBy>Алексей Кривошапкин</cp:lastModifiedBy>
  <cp:lastPrinted>2025-12-01T14:01:36Z</cp:lastPrinted>
  <dcterms:created xsi:type="dcterms:W3CDTF">2016-06-06T18:18:21Z</dcterms:created>
  <dcterms:modified xsi:type="dcterms:W3CDTF">2026-03-05T13:12:00Z</dcterms:modified>
</cp:coreProperties>
</file>