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rivoshapkin.ai\Desktop\Разработка программ\Ведомость дорог\data\"/>
    </mc:Choice>
  </mc:AlternateContent>
  <bookViews>
    <workbookView xWindow="0" yWindow="0" windowWidth="38400" windowHeight="16425" tabRatio="706" activeTab="2"/>
  </bookViews>
  <sheets>
    <sheet name="Лист1" sheetId="1" r:id="rId1"/>
    <sheet name="ИД" sheetId="281" r:id="rId2"/>
    <sheet name="В обсл" sheetId="444" r:id="rId3"/>
    <sheet name="аб1" sheetId="90" r:id="rId4"/>
  </sheets>
  <definedNames>
    <definedName name="_Hlk26540438" localSheetId="1">ИД!#REF!</definedName>
    <definedName name="_xlnm._FilterDatabase" localSheetId="2" hidden="1">'В обсл'!$A$1:$G$29</definedName>
    <definedName name="_xlnm._FilterDatabase" localSheetId="1" hidden="1">ИД!$A$1:$P$27</definedName>
  </definedNames>
  <calcPr calcId="162913"/>
</workbook>
</file>

<file path=xl/calcChain.xml><?xml version="1.0" encoding="utf-8"?>
<calcChain xmlns="http://schemas.openxmlformats.org/spreadsheetml/2006/main">
  <c r="AC51" i="90" l="1"/>
  <c r="AB51" i="90"/>
  <c r="AA51" i="90"/>
  <c r="Z51" i="90"/>
  <c r="Y51" i="90"/>
  <c r="X51" i="90"/>
  <c r="W51" i="90"/>
  <c r="V51" i="90"/>
  <c r="U51" i="90"/>
  <c r="T51" i="90"/>
  <c r="S51" i="90"/>
  <c r="R51" i="90"/>
  <c r="Q51" i="90"/>
  <c r="P51" i="90"/>
  <c r="O51" i="90"/>
  <c r="N51" i="90"/>
  <c r="AC50" i="90"/>
  <c r="AB50" i="90"/>
  <c r="AA50" i="90"/>
  <c r="Z50" i="90"/>
  <c r="Y50" i="90"/>
  <c r="X50" i="90"/>
  <c r="W50" i="90"/>
  <c r="V50" i="90"/>
  <c r="U50" i="90"/>
  <c r="T50" i="90"/>
  <c r="S50" i="90"/>
  <c r="R50" i="90"/>
  <c r="Q50" i="90"/>
  <c r="P50" i="90"/>
  <c r="O50" i="90"/>
  <c r="N50" i="90"/>
  <c r="AC49" i="90"/>
  <c r="AB49" i="90"/>
  <c r="AA49" i="90"/>
  <c r="Z49" i="90"/>
  <c r="Y49" i="90"/>
  <c r="X49" i="90"/>
  <c r="W49" i="90"/>
  <c r="V49" i="90"/>
  <c r="U49" i="90"/>
  <c r="T49" i="90"/>
  <c r="S49" i="90"/>
  <c r="R49" i="90"/>
  <c r="Q49" i="90"/>
  <c r="P49" i="90"/>
  <c r="O49" i="90"/>
  <c r="N49" i="90"/>
  <c r="AC48" i="90"/>
  <c r="AB48" i="90"/>
  <c r="AA48" i="90"/>
  <c r="Z48" i="90"/>
  <c r="Y48" i="90"/>
  <c r="X48" i="90"/>
  <c r="W48" i="90"/>
  <c r="V48" i="90"/>
  <c r="U48" i="90"/>
  <c r="T48" i="90"/>
  <c r="S48" i="90"/>
  <c r="R48" i="90"/>
  <c r="Q48" i="90"/>
  <c r="P48" i="90"/>
  <c r="O48" i="90"/>
  <c r="N48" i="90"/>
  <c r="AC47" i="90"/>
  <c r="AB47" i="90"/>
  <c r="AA47" i="90"/>
  <c r="Z47" i="90"/>
  <c r="Y47" i="90"/>
  <c r="X47" i="90"/>
  <c r="W47" i="90"/>
  <c r="V47" i="90"/>
  <c r="U47" i="90"/>
  <c r="T47" i="90"/>
  <c r="S47" i="90"/>
  <c r="R47" i="90"/>
  <c r="Q47" i="90"/>
  <c r="P47" i="90"/>
  <c r="O47" i="90"/>
  <c r="N47" i="90"/>
  <c r="AC46" i="90"/>
  <c r="AB46" i="90"/>
  <c r="AA46" i="90"/>
  <c r="Z46" i="90"/>
  <c r="Y46" i="90"/>
  <c r="X46" i="90"/>
  <c r="W46" i="90"/>
  <c r="V46" i="90"/>
  <c r="U46" i="90"/>
  <c r="T46" i="90"/>
  <c r="S46" i="90"/>
  <c r="R46" i="90"/>
  <c r="Q46" i="90"/>
  <c r="P46" i="90"/>
  <c r="O46" i="90"/>
  <c r="N46" i="90"/>
  <c r="AC45" i="90"/>
  <c r="AB45" i="90"/>
  <c r="AA45" i="90"/>
  <c r="Z45" i="90"/>
  <c r="Y45" i="90"/>
  <c r="X45" i="90"/>
  <c r="W45" i="90"/>
  <c r="V45" i="90"/>
  <c r="U45" i="90"/>
  <c r="T45" i="90"/>
  <c r="S45" i="90"/>
  <c r="R45" i="90"/>
  <c r="Q45" i="90"/>
  <c r="P45" i="90"/>
  <c r="O45" i="90"/>
  <c r="N45" i="90"/>
  <c r="AC44" i="90"/>
  <c r="AB44" i="90"/>
  <c r="AA44" i="90"/>
  <c r="Z44" i="90"/>
  <c r="Y44" i="90"/>
  <c r="X44" i="90"/>
  <c r="W44" i="90"/>
  <c r="V44" i="90"/>
  <c r="U44" i="90"/>
  <c r="T44" i="90"/>
  <c r="S44" i="90"/>
  <c r="R44" i="90"/>
  <c r="Q44" i="90"/>
  <c r="P44" i="90"/>
  <c r="O44" i="90"/>
  <c r="N44" i="90"/>
  <c r="AC43" i="90"/>
  <c r="AB43" i="90"/>
  <c r="AA43" i="90"/>
  <c r="Z43" i="90"/>
  <c r="Y43" i="90"/>
  <c r="X43" i="90"/>
  <c r="W43" i="90"/>
  <c r="V43" i="90"/>
  <c r="U43" i="90"/>
  <c r="T43" i="90"/>
  <c r="S43" i="90"/>
  <c r="R43" i="90"/>
  <c r="Q43" i="90"/>
  <c r="P43" i="90"/>
  <c r="O43" i="90"/>
  <c r="N43" i="90"/>
  <c r="AC42" i="90"/>
  <c r="AB42" i="90"/>
  <c r="AA42" i="90"/>
  <c r="Z42" i="90"/>
  <c r="Y42" i="90"/>
  <c r="X42" i="90"/>
  <c r="W42" i="90"/>
  <c r="V42" i="90"/>
  <c r="U42" i="90"/>
  <c r="T42" i="90"/>
  <c r="S42" i="90"/>
  <c r="R42" i="90"/>
  <c r="Q42" i="90"/>
  <c r="P42" i="90"/>
  <c r="O42" i="90"/>
  <c r="N42" i="90"/>
  <c r="AC41" i="90"/>
  <c r="AB41" i="90"/>
  <c r="AA41" i="90"/>
  <c r="Z41" i="90"/>
  <c r="Y41" i="90"/>
  <c r="X41" i="90"/>
  <c r="W41" i="90"/>
  <c r="V41" i="90"/>
  <c r="U41" i="90"/>
  <c r="T41" i="90"/>
  <c r="S41" i="90"/>
  <c r="R41" i="90"/>
  <c r="Q41" i="90"/>
  <c r="P41" i="90"/>
  <c r="O41" i="90"/>
  <c r="N41" i="90"/>
  <c r="AC40" i="90"/>
  <c r="AB40" i="90"/>
  <c r="AA40" i="90"/>
  <c r="Z40" i="90"/>
  <c r="Y40" i="90"/>
  <c r="X40" i="90"/>
  <c r="W40" i="90"/>
  <c r="V40" i="90"/>
  <c r="U40" i="90"/>
  <c r="T40" i="90"/>
  <c r="S40" i="90"/>
  <c r="R40" i="90"/>
  <c r="Q40" i="90"/>
  <c r="P40" i="90"/>
  <c r="O40" i="90"/>
  <c r="N40" i="90"/>
  <c r="AC39" i="90"/>
  <c r="AB39" i="90"/>
  <c r="AA39" i="90"/>
  <c r="Z39" i="90"/>
  <c r="Y39" i="90"/>
  <c r="X39" i="90"/>
  <c r="W39" i="90"/>
  <c r="V39" i="90"/>
  <c r="U39" i="90"/>
  <c r="T39" i="90"/>
  <c r="S39" i="90"/>
  <c r="R39" i="90"/>
  <c r="Q39" i="90"/>
  <c r="P39" i="90"/>
  <c r="O39" i="90"/>
  <c r="N39" i="90"/>
  <c r="AC38" i="90"/>
  <c r="AB38" i="90"/>
  <c r="AA38" i="90"/>
  <c r="Z38" i="90"/>
  <c r="Y38" i="90"/>
  <c r="X38" i="90"/>
  <c r="W38" i="90"/>
  <c r="V38" i="90"/>
  <c r="U38" i="90"/>
  <c r="T38" i="90"/>
  <c r="S38" i="90"/>
  <c r="R38" i="90"/>
  <c r="Q38" i="90"/>
  <c r="P38" i="90"/>
  <c r="O38" i="90"/>
  <c r="N38" i="90"/>
  <c r="AC37" i="90"/>
  <c r="AB37" i="90"/>
  <c r="AA37" i="90"/>
  <c r="Z37" i="90"/>
  <c r="Y37" i="90"/>
  <c r="X37" i="90"/>
  <c r="W37" i="90"/>
  <c r="V37" i="90"/>
  <c r="U37" i="90"/>
  <c r="T37" i="90"/>
  <c r="S37" i="90"/>
  <c r="R37" i="90"/>
  <c r="Q37" i="90"/>
  <c r="P37" i="90"/>
  <c r="O37" i="90"/>
  <c r="N37" i="90"/>
  <c r="AC36" i="90"/>
  <c r="AB36" i="90"/>
  <c r="AA36" i="90"/>
  <c r="Z36" i="90"/>
  <c r="Y36" i="90"/>
  <c r="X36" i="90"/>
  <c r="W36" i="90"/>
  <c r="V36" i="90"/>
  <c r="U36" i="90"/>
  <c r="T36" i="90"/>
  <c r="S36" i="90"/>
  <c r="R36" i="90"/>
  <c r="Q36" i="90"/>
  <c r="P36" i="90"/>
  <c r="O36" i="90"/>
  <c r="N36" i="90"/>
  <c r="AC35" i="90"/>
  <c r="AB35" i="90"/>
  <c r="AA35" i="90"/>
  <c r="Z35" i="90"/>
  <c r="Y35" i="90"/>
  <c r="X35" i="90"/>
  <c r="W35" i="90"/>
  <c r="V35" i="90"/>
  <c r="U35" i="90"/>
  <c r="T35" i="90"/>
  <c r="S35" i="90"/>
  <c r="R35" i="90"/>
  <c r="Q35" i="90"/>
  <c r="P35" i="90"/>
  <c r="O35" i="90"/>
  <c r="N35" i="90"/>
  <c r="AC34" i="90"/>
  <c r="AB34" i="90"/>
  <c r="AA34" i="90"/>
  <c r="Z34" i="90"/>
  <c r="Y34" i="90"/>
  <c r="X34" i="90"/>
  <c r="W34" i="90"/>
  <c r="V34" i="90"/>
  <c r="U34" i="90"/>
  <c r="T34" i="90"/>
  <c r="S34" i="90"/>
  <c r="R34" i="90"/>
  <c r="Q34" i="90"/>
  <c r="P34" i="90"/>
  <c r="O34" i="90"/>
  <c r="N34" i="90"/>
  <c r="AC33" i="90"/>
  <c r="AB33" i="90"/>
  <c r="AA33" i="90"/>
  <c r="Z33" i="90"/>
  <c r="Y33" i="90"/>
  <c r="X33" i="90"/>
  <c r="W33" i="90"/>
  <c r="V33" i="90"/>
  <c r="U33" i="90"/>
  <c r="T33" i="90"/>
  <c r="S33" i="90"/>
  <c r="R33" i="90"/>
  <c r="Q33" i="90"/>
  <c r="P33" i="90"/>
  <c r="O33" i="90"/>
  <c r="N33" i="90"/>
  <c r="AC32" i="90"/>
  <c r="AB32" i="90"/>
  <c r="AA32" i="90"/>
  <c r="Z32" i="90"/>
  <c r="Y32" i="90"/>
  <c r="X32" i="90"/>
  <c r="W32" i="90"/>
  <c r="V32" i="90"/>
  <c r="U32" i="90"/>
  <c r="T32" i="90"/>
  <c r="S32" i="90"/>
  <c r="R32" i="90"/>
  <c r="Q32" i="90"/>
  <c r="P32" i="90"/>
  <c r="O32" i="90"/>
  <c r="N32" i="90"/>
  <c r="AC31" i="90"/>
  <c r="AB31" i="90"/>
  <c r="AA31" i="90"/>
  <c r="Z31" i="90"/>
  <c r="Y31" i="90"/>
  <c r="X31" i="90"/>
  <c r="W31" i="90"/>
  <c r="V31" i="90"/>
  <c r="U31" i="90"/>
  <c r="T31" i="90"/>
  <c r="S31" i="90"/>
  <c r="R31" i="90"/>
  <c r="Q31" i="90"/>
  <c r="P31" i="90"/>
  <c r="O31" i="90"/>
  <c r="N31" i="90"/>
  <c r="AC30" i="90"/>
  <c r="AB30" i="90"/>
  <c r="AA30" i="90"/>
  <c r="Z30" i="90"/>
  <c r="Y30" i="90"/>
  <c r="X30" i="90"/>
  <c r="W30" i="90"/>
  <c r="V30" i="90"/>
  <c r="U30" i="90"/>
  <c r="T30" i="90"/>
  <c r="S30" i="90"/>
  <c r="R30" i="90"/>
  <c r="Q30" i="90"/>
  <c r="P30" i="90"/>
  <c r="O30" i="90"/>
  <c r="N30" i="90"/>
  <c r="AC29" i="90"/>
  <c r="AB29" i="90"/>
  <c r="AA29" i="90"/>
  <c r="Z29" i="90"/>
  <c r="Y29" i="90"/>
  <c r="X29" i="90"/>
  <c r="W29" i="90"/>
  <c r="V29" i="90"/>
  <c r="U29" i="90"/>
  <c r="T29" i="90"/>
  <c r="S29" i="90"/>
  <c r="R29" i="90"/>
  <c r="Q29" i="90"/>
  <c r="P29" i="90"/>
  <c r="O29" i="90"/>
  <c r="N29" i="90"/>
  <c r="AC28" i="90"/>
  <c r="AB28" i="90"/>
  <c r="AA28" i="90"/>
  <c r="Z28" i="90"/>
  <c r="Y28" i="90"/>
  <c r="X28" i="90"/>
  <c r="W28" i="90"/>
  <c r="V28" i="90"/>
  <c r="U28" i="90"/>
  <c r="T28" i="90"/>
  <c r="S28" i="90"/>
  <c r="R28" i="90"/>
  <c r="Q28" i="90"/>
  <c r="P28" i="90"/>
  <c r="O28" i="90"/>
  <c r="N28" i="90"/>
  <c r="AC27" i="90"/>
  <c r="AB27" i="90"/>
  <c r="AA27" i="90"/>
  <c r="Z27" i="90"/>
  <c r="Y27" i="90"/>
  <c r="X27" i="90"/>
  <c r="W27" i="90"/>
  <c r="V27" i="90"/>
  <c r="U27" i="90"/>
  <c r="T27" i="90"/>
  <c r="S27" i="90"/>
  <c r="R27" i="90"/>
  <c r="Q27" i="90"/>
  <c r="P27" i="90"/>
  <c r="O27" i="90"/>
  <c r="N27" i="90"/>
  <c r="AC26" i="90"/>
  <c r="AB26" i="90"/>
  <c r="AA26" i="90"/>
  <c r="Z26" i="90"/>
  <c r="Y26" i="90"/>
  <c r="X26" i="90"/>
  <c r="W26" i="90"/>
  <c r="V26" i="90"/>
  <c r="U26" i="90"/>
  <c r="T26" i="90"/>
  <c r="S26" i="90"/>
  <c r="R26" i="90"/>
  <c r="Q26" i="90"/>
  <c r="P26" i="90"/>
  <c r="O26" i="90"/>
  <c r="N26" i="90"/>
  <c r="AC25" i="90"/>
  <c r="AB25" i="90"/>
  <c r="AA25" i="90"/>
  <c r="Z25" i="90"/>
  <c r="Y25" i="90"/>
  <c r="X25" i="90"/>
  <c r="W25" i="90"/>
  <c r="V25" i="90"/>
  <c r="U25" i="90"/>
  <c r="T25" i="90"/>
  <c r="S25" i="90"/>
  <c r="R25" i="90"/>
  <c r="Q25" i="90"/>
  <c r="P25" i="90"/>
  <c r="O25" i="90"/>
  <c r="N25" i="90"/>
  <c r="AC24" i="90"/>
  <c r="AB24" i="90"/>
  <c r="AA24" i="90"/>
  <c r="Z24" i="90"/>
  <c r="Y24" i="90"/>
  <c r="X24" i="90"/>
  <c r="W24" i="90"/>
  <c r="V24" i="90"/>
  <c r="U24" i="90"/>
  <c r="T24" i="90"/>
  <c r="S24" i="90"/>
  <c r="R24" i="90"/>
  <c r="Q24" i="90"/>
  <c r="P24" i="90"/>
  <c r="O24" i="90"/>
  <c r="N24" i="90"/>
  <c r="AC23" i="90"/>
  <c r="AB23" i="90"/>
  <c r="AA23" i="90"/>
  <c r="Z23" i="90"/>
  <c r="Y23" i="90"/>
  <c r="X23" i="90"/>
  <c r="W23" i="90"/>
  <c r="V23" i="90"/>
  <c r="U23" i="90"/>
  <c r="T23" i="90"/>
  <c r="S23" i="90"/>
  <c r="R23" i="90"/>
  <c r="Q23" i="90"/>
  <c r="P23" i="90"/>
  <c r="O23" i="90"/>
  <c r="N23" i="90"/>
  <c r="AC22" i="90"/>
  <c r="AB22" i="90"/>
  <c r="AA22" i="90"/>
  <c r="Z22" i="90"/>
  <c r="Y22" i="90"/>
  <c r="X22" i="90"/>
  <c r="W22" i="90"/>
  <c r="V22" i="90"/>
  <c r="U22" i="90"/>
  <c r="T22" i="90"/>
  <c r="S22" i="90"/>
  <c r="R22" i="90"/>
  <c r="Q22" i="90"/>
  <c r="P22" i="90"/>
  <c r="O22" i="90"/>
  <c r="N22" i="90"/>
  <c r="AC21" i="90"/>
  <c r="AB21" i="90"/>
  <c r="AA21" i="90"/>
  <c r="Z21" i="90"/>
  <c r="Y21" i="90"/>
  <c r="X21" i="90"/>
  <c r="W21" i="90"/>
  <c r="V21" i="90"/>
  <c r="U21" i="90"/>
  <c r="T21" i="90"/>
  <c r="S21" i="90"/>
  <c r="R21" i="90"/>
  <c r="Q21" i="90"/>
  <c r="P21" i="90"/>
  <c r="O21" i="90"/>
  <c r="N21" i="90"/>
  <c r="AC20" i="90"/>
  <c r="AB20" i="90"/>
  <c r="AA20" i="90"/>
  <c r="Z20" i="90"/>
  <c r="Y20" i="90"/>
  <c r="X20" i="90"/>
  <c r="W20" i="90"/>
  <c r="V20" i="90"/>
  <c r="U20" i="90"/>
  <c r="T20" i="90"/>
  <c r="S20" i="90"/>
  <c r="R20" i="90"/>
  <c r="Q20" i="90"/>
  <c r="P20" i="90"/>
  <c r="O20" i="90"/>
  <c r="N20" i="90"/>
  <c r="AC19" i="90"/>
  <c r="AB19" i="90"/>
  <c r="AA19" i="90"/>
  <c r="Z19" i="90"/>
  <c r="Y19" i="90"/>
  <c r="X19" i="90"/>
  <c r="W19" i="90"/>
  <c r="V19" i="90"/>
  <c r="U19" i="90"/>
  <c r="T19" i="90"/>
  <c r="S19" i="90"/>
  <c r="R19" i="90"/>
  <c r="Q19" i="90"/>
  <c r="P19" i="90"/>
  <c r="O19" i="90"/>
  <c r="N19" i="90"/>
  <c r="AC18" i="90"/>
  <c r="AB18" i="90"/>
  <c r="AA18" i="90"/>
  <c r="Z18" i="90"/>
  <c r="Y18" i="90"/>
  <c r="X18" i="90"/>
  <c r="W18" i="90"/>
  <c r="V18" i="90"/>
  <c r="U18" i="90"/>
  <c r="T18" i="90"/>
  <c r="S18" i="90"/>
  <c r="R18" i="90"/>
  <c r="Q18" i="90"/>
  <c r="P18" i="90"/>
  <c r="O18" i="90"/>
  <c r="N18" i="90"/>
  <c r="AC17" i="90"/>
  <c r="AB17" i="90"/>
  <c r="AA17" i="90"/>
  <c r="Z17" i="90"/>
  <c r="Y17" i="90"/>
  <c r="X17" i="90"/>
  <c r="W17" i="90"/>
  <c r="V17" i="90"/>
  <c r="U17" i="90"/>
  <c r="T17" i="90"/>
  <c r="S17" i="90"/>
  <c r="R17" i="90"/>
  <c r="Q17" i="90"/>
  <c r="P17" i="90"/>
  <c r="O17" i="90"/>
  <c r="N17" i="90"/>
  <c r="AC16" i="90"/>
  <c r="AB16" i="90"/>
  <c r="AA16" i="90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AC15" i="90"/>
  <c r="AB15" i="90"/>
  <c r="AA15" i="90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AC14" i="90"/>
  <c r="AB14" i="90"/>
  <c r="AA14" i="90"/>
  <c r="Z14" i="90"/>
  <c r="Y14" i="90"/>
  <c r="X14" i="90"/>
  <c r="W14" i="90"/>
  <c r="V14" i="90"/>
  <c r="U14" i="90"/>
  <c r="T14" i="90"/>
  <c r="S14" i="90"/>
  <c r="R14" i="90"/>
  <c r="Q14" i="90"/>
  <c r="P14" i="90"/>
  <c r="O14" i="90"/>
  <c r="N14" i="90"/>
  <c r="AC13" i="90"/>
  <c r="AB13" i="90"/>
  <c r="AA13" i="90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AC12" i="90"/>
  <c r="AB12" i="90"/>
  <c r="AA12" i="90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A14" i="90"/>
  <c r="C14" i="90" s="1"/>
  <c r="A15" i="90"/>
  <c r="C15" i="90" s="1"/>
  <c r="A16" i="90"/>
  <c r="C16" i="90" s="1"/>
  <c r="A17" i="90"/>
  <c r="C17" i="90" s="1"/>
  <c r="A18" i="90"/>
  <c r="C18" i="90" s="1"/>
  <c r="A19" i="90"/>
  <c r="C19" i="90" s="1"/>
  <c r="A20" i="90"/>
  <c r="C20" i="90" s="1"/>
  <c r="A21" i="90"/>
  <c r="C21" i="90" s="1"/>
  <c r="A22" i="90"/>
  <c r="C22" i="90" s="1"/>
  <c r="A23" i="90"/>
  <c r="C23" i="90" s="1"/>
  <c r="A24" i="90"/>
  <c r="C24" i="90" s="1"/>
  <c r="A25" i="90"/>
  <c r="C25" i="90" s="1"/>
  <c r="A26" i="90"/>
  <c r="C26" i="90" s="1"/>
  <c r="A27" i="90"/>
  <c r="C27" i="90" s="1"/>
  <c r="A28" i="90"/>
  <c r="C28" i="90" s="1"/>
  <c r="A29" i="90"/>
  <c r="C29" i="90" s="1"/>
  <c r="A30" i="90"/>
  <c r="C30" i="90" s="1"/>
  <c r="A31" i="90"/>
  <c r="C31" i="90" s="1"/>
  <c r="A32" i="90"/>
  <c r="C32" i="90" s="1"/>
  <c r="A33" i="90"/>
  <c r="C33" i="90" s="1"/>
  <c r="A34" i="90"/>
  <c r="C34" i="90" s="1"/>
  <c r="A35" i="90"/>
  <c r="C35" i="90" s="1"/>
  <c r="A36" i="90"/>
  <c r="C36" i="90" s="1"/>
  <c r="A37" i="90"/>
  <c r="C37" i="90" s="1"/>
  <c r="A38" i="90"/>
  <c r="C38" i="90" s="1"/>
  <c r="A39" i="90"/>
  <c r="C39" i="90" s="1"/>
  <c r="A40" i="90"/>
  <c r="C40" i="90" s="1"/>
  <c r="A41" i="90"/>
  <c r="C41" i="90" s="1"/>
  <c r="A42" i="90"/>
  <c r="C42" i="90" s="1"/>
  <c r="A43" i="90"/>
  <c r="C43" i="90" s="1"/>
  <c r="A44" i="90"/>
  <c r="C44" i="90" s="1"/>
  <c r="A45" i="90"/>
  <c r="C45" i="90" s="1"/>
  <c r="A46" i="90"/>
  <c r="C46" i="90" s="1"/>
  <c r="A47" i="90"/>
  <c r="C47" i="90" s="1"/>
  <c r="A48" i="90"/>
  <c r="C48" i="90" s="1"/>
  <c r="A49" i="90"/>
  <c r="C49" i="90" s="1"/>
  <c r="A50" i="90"/>
  <c r="C50" i="90" s="1"/>
  <c r="A51" i="90"/>
  <c r="C51" i="90" s="1"/>
  <c r="A13" i="90"/>
  <c r="C13" i="90" s="1"/>
  <c r="AU26" i="90"/>
  <c r="AV26" i="90"/>
  <c r="AU27" i="90"/>
  <c r="AV27" i="90"/>
  <c r="AU28" i="90"/>
  <c r="AV28" i="90"/>
  <c r="AU29" i="90"/>
  <c r="AV29" i="90"/>
  <c r="AU30" i="90"/>
  <c r="AV30" i="90"/>
  <c r="AU31" i="90"/>
  <c r="AV31" i="90"/>
  <c r="AU32" i="90"/>
  <c r="AV32" i="90"/>
  <c r="AU33" i="90"/>
  <c r="AV33" i="90"/>
  <c r="AU34" i="90"/>
  <c r="AV34" i="90"/>
  <c r="AU35" i="90"/>
  <c r="AV35" i="90"/>
  <c r="AU36" i="90"/>
  <c r="AV36" i="90"/>
  <c r="AU37" i="90"/>
  <c r="AV37" i="90"/>
  <c r="AU38" i="90"/>
  <c r="AV38" i="90"/>
  <c r="AU39" i="90"/>
  <c r="AV39" i="90"/>
  <c r="AU40" i="90"/>
  <c r="AV40" i="90"/>
  <c r="AU41" i="90"/>
  <c r="AV41" i="90"/>
  <c r="AU42" i="90"/>
  <c r="AV42" i="90"/>
  <c r="AU43" i="90"/>
  <c r="AV43" i="90"/>
  <c r="AU44" i="90"/>
  <c r="AV44" i="90"/>
  <c r="AU45" i="90"/>
  <c r="AV45" i="90"/>
  <c r="AU46" i="90"/>
  <c r="AV46" i="90"/>
  <c r="AU47" i="90"/>
  <c r="AV47" i="90"/>
  <c r="AU48" i="90"/>
  <c r="AV48" i="90"/>
  <c r="AU49" i="90"/>
  <c r="AV49" i="90"/>
  <c r="AU50" i="90"/>
  <c r="AV50" i="90"/>
  <c r="AU51" i="90"/>
  <c r="AV51" i="90"/>
  <c r="AN18" i="90" l="1"/>
  <c r="AO18" i="90" s="1"/>
  <c r="AN21" i="90"/>
  <c r="AO21" i="90" s="1"/>
  <c r="AN30" i="90"/>
  <c r="AO30" i="90" s="1"/>
  <c r="AN33" i="90"/>
  <c r="AO33" i="90" s="1"/>
  <c r="AN42" i="90"/>
  <c r="AO42" i="90" s="1"/>
  <c r="AN45" i="90"/>
  <c r="AO45" i="90" s="1"/>
  <c r="AP49" i="90"/>
  <c r="BE49" i="90" s="1"/>
  <c r="BA49" i="90" s="1"/>
  <c r="AN12" i="90"/>
  <c r="AO12" i="90" s="1"/>
  <c r="AN50" i="90"/>
  <c r="AO50" i="90" s="1"/>
  <c r="AN15" i="90"/>
  <c r="AO15" i="90" s="1"/>
  <c r="AN16" i="90"/>
  <c r="AO16" i="90" s="1"/>
  <c r="AN19" i="90"/>
  <c r="AO19" i="90" s="1"/>
  <c r="AN27" i="90"/>
  <c r="AO27" i="90" s="1"/>
  <c r="AN28" i="90"/>
  <c r="AO28" i="90" s="1"/>
  <c r="AN31" i="90"/>
  <c r="AO31" i="90" s="1"/>
  <c r="AN39" i="90"/>
  <c r="AO39" i="90" s="1"/>
  <c r="AN40" i="90"/>
  <c r="AO40" i="90" s="1"/>
  <c r="AN43" i="90"/>
  <c r="AO43" i="90" s="1"/>
  <c r="AN48" i="90"/>
  <c r="AO48" i="90" s="1"/>
  <c r="AN51" i="90"/>
  <c r="AO51" i="90" s="1"/>
  <c r="AN38" i="90"/>
  <c r="AO38" i="90" s="1"/>
  <c r="AP44" i="90"/>
  <c r="BE44" i="90" s="1"/>
  <c r="BA44" i="90" s="1"/>
  <c r="AN36" i="90"/>
  <c r="AO36" i="90" s="1"/>
  <c r="AN17" i="90"/>
  <c r="AO17" i="90" s="1"/>
  <c r="AN20" i="90"/>
  <c r="AO20" i="90" s="1"/>
  <c r="AN29" i="90"/>
  <c r="AO29" i="90" s="1"/>
  <c r="AN32" i="90"/>
  <c r="AO32" i="90" s="1"/>
  <c r="AN41" i="90"/>
  <c r="AO41" i="90" s="1"/>
  <c r="AN44" i="90"/>
  <c r="AO44" i="90" s="1"/>
  <c r="AN24" i="90"/>
  <c r="AO24" i="90" s="1"/>
  <c r="AN13" i="90"/>
  <c r="AO13" i="90" s="1"/>
  <c r="AN14" i="90"/>
  <c r="AO14" i="90" s="1"/>
  <c r="AN22" i="90"/>
  <c r="AO22" i="90" s="1"/>
  <c r="AN23" i="90"/>
  <c r="AO23" i="90" s="1"/>
  <c r="AN25" i="90"/>
  <c r="AO25" i="90" s="1"/>
  <c r="AN26" i="90"/>
  <c r="AO26" i="90" s="1"/>
  <c r="AN34" i="90"/>
  <c r="AO34" i="90" s="1"/>
  <c r="AN35" i="90"/>
  <c r="AO35" i="90" s="1"/>
  <c r="AN37" i="90"/>
  <c r="AO37" i="90" s="1"/>
  <c r="AN46" i="90"/>
  <c r="AO46" i="90" s="1"/>
  <c r="AN49" i="90"/>
  <c r="AO49" i="90" s="1"/>
  <c r="AN47" i="90"/>
  <c r="AO47" i="90" s="1"/>
  <c r="AP39" i="90"/>
  <c r="BE39" i="90" s="1"/>
  <c r="BA39" i="90" s="1"/>
  <c r="AP35" i="90"/>
  <c r="BE35" i="90" s="1"/>
  <c r="BA35" i="90" s="1"/>
  <c r="AP34" i="90"/>
  <c r="BE34" i="90" s="1"/>
  <c r="BA34" i="90" s="1"/>
  <c r="AP29" i="90"/>
  <c r="BE29" i="90" s="1"/>
  <c r="BA29" i="90" s="1"/>
  <c r="AP26" i="90"/>
  <c r="BE26" i="90" s="1"/>
  <c r="BA26" i="90" s="1"/>
  <c r="AP40" i="90"/>
  <c r="BE40" i="90" s="1"/>
  <c r="BA40" i="90" s="1"/>
  <c r="AP32" i="90"/>
  <c r="BE32" i="90" s="1"/>
  <c r="BA32" i="90" s="1"/>
  <c r="AP27" i="90"/>
  <c r="BE27" i="90" s="1"/>
  <c r="BA27" i="90" s="1"/>
  <c r="AP45" i="90"/>
  <c r="AP38" i="90"/>
  <c r="BE38" i="90" s="1"/>
  <c r="BA38" i="90" s="1"/>
  <c r="AP33" i="90"/>
  <c r="BE33" i="90" s="1"/>
  <c r="BA33" i="90" s="1"/>
  <c r="AP28" i="90"/>
  <c r="BE28" i="90" s="1"/>
  <c r="BA28" i="90" s="1"/>
  <c r="AP43" i="90"/>
  <c r="BE43" i="90" s="1"/>
  <c r="BA43" i="90" s="1"/>
  <c r="AP37" i="90"/>
  <c r="AP30" i="90"/>
  <c r="BE30" i="90" s="1"/>
  <c r="BA30" i="90" s="1"/>
  <c r="AP48" i="90"/>
  <c r="BE48" i="90" s="1"/>
  <c r="BA48" i="90" s="1"/>
  <c r="AP46" i="90"/>
  <c r="BE46" i="90" s="1"/>
  <c r="BA46" i="90" s="1"/>
  <c r="AP51" i="90"/>
  <c r="BE51" i="90" s="1"/>
  <c r="BA51" i="90" s="1"/>
  <c r="AP41" i="90"/>
  <c r="BE41" i="90" s="1"/>
  <c r="BA41" i="90" s="1"/>
  <c r="AP36" i="90"/>
  <c r="BE36" i="90" s="1"/>
  <c r="BA36" i="90" s="1"/>
  <c r="AP31" i="90"/>
  <c r="BE31" i="90" s="1"/>
  <c r="BA31" i="90" s="1"/>
  <c r="AQ49" i="90"/>
  <c r="AW49" i="90"/>
  <c r="AZ49" i="90" s="1"/>
  <c r="AQ28" i="90"/>
  <c r="AW28" i="90"/>
  <c r="AZ28" i="90" s="1"/>
  <c r="AQ37" i="90"/>
  <c r="AP42" i="90"/>
  <c r="BE42" i="90" s="1"/>
  <c r="BA42" i="90" s="1"/>
  <c r="AQ26" i="90"/>
  <c r="AW26" i="90"/>
  <c r="AZ26" i="90" s="1"/>
  <c r="AW51" i="90"/>
  <c r="AZ51" i="90" s="1"/>
  <c r="AP47" i="90"/>
  <c r="BE47" i="90" s="1"/>
  <c r="BA47" i="90" s="1"/>
  <c r="AQ39" i="90"/>
  <c r="AW27" i="90"/>
  <c r="AZ27" i="90" s="1"/>
  <c r="AQ27" i="90"/>
  <c r="AW43" i="90"/>
  <c r="AZ43" i="90" s="1"/>
  <c r="AW32" i="90"/>
  <c r="AZ32" i="90" s="1"/>
  <c r="AW36" i="90"/>
  <c r="AZ36" i="90" s="1"/>
  <c r="AQ36" i="90"/>
  <c r="AW48" i="90"/>
  <c r="AZ48" i="90" s="1"/>
  <c r="AQ48" i="90"/>
  <c r="AW44" i="90"/>
  <c r="AZ44" i="90" s="1"/>
  <c r="AQ33" i="90"/>
  <c r="AW33" i="90"/>
  <c r="AZ33" i="90" s="1"/>
  <c r="AW29" i="90"/>
  <c r="AZ29" i="90" s="1"/>
  <c r="AQ29" i="90"/>
  <c r="AQ44" i="90"/>
  <c r="AQ35" i="90"/>
  <c r="AW35" i="90"/>
  <c r="AZ35" i="90" s="1"/>
  <c r="AQ32" i="90"/>
  <c r="AW46" i="90"/>
  <c r="AZ46" i="90" s="1"/>
  <c r="AQ46" i="90"/>
  <c r="AQ38" i="90"/>
  <c r="AW38" i="90"/>
  <c r="AZ38" i="90" s="1"/>
  <c r="AW34" i="90"/>
  <c r="AZ34" i="90" s="1"/>
  <c r="AQ34" i="90"/>
  <c r="AP50" i="90"/>
  <c r="BE50" i="90" s="1"/>
  <c r="BA50" i="90" s="1"/>
  <c r="AW39" i="90" l="1"/>
  <c r="AZ39" i="90" s="1"/>
  <c r="AQ43" i="90"/>
  <c r="AQ51" i="90"/>
  <c r="AQ40" i="90"/>
  <c r="AW30" i="90"/>
  <c r="AZ30" i="90" s="1"/>
  <c r="AW40" i="90"/>
  <c r="AZ40" i="90" s="1"/>
  <c r="AQ31" i="90"/>
  <c r="AQ30" i="90"/>
  <c r="AW31" i="90"/>
  <c r="AZ31" i="90" s="1"/>
  <c r="AQ41" i="90"/>
  <c r="AW41" i="90"/>
  <c r="AZ41" i="90" s="1"/>
  <c r="AW45" i="90"/>
  <c r="AZ45" i="90" s="1"/>
  <c r="BE45" i="90"/>
  <c r="BA45" i="90" s="1"/>
  <c r="AW37" i="90"/>
  <c r="AZ37" i="90" s="1"/>
  <c r="BE37" i="90"/>
  <c r="BA37" i="90" s="1"/>
  <c r="AQ45" i="90"/>
  <c r="AQ47" i="90"/>
  <c r="AW47" i="90"/>
  <c r="AZ47" i="90" s="1"/>
  <c r="AQ50" i="90"/>
  <c r="AW50" i="90"/>
  <c r="AZ50" i="90" s="1"/>
  <c r="AQ42" i="90"/>
  <c r="AW42" i="90"/>
  <c r="AZ42" i="90" s="1"/>
  <c r="B1" i="90"/>
  <c r="B9" i="90" s="1"/>
  <c r="Z1" i="281"/>
  <c r="B7" i="90" l="1"/>
  <c r="B6" i="90"/>
  <c r="N2" i="90"/>
  <c r="B5" i="90"/>
  <c r="E3" i="90"/>
  <c r="B4" i="90"/>
  <c r="D6" i="90"/>
  <c r="D7" i="90"/>
  <c r="C1" i="90"/>
  <c r="K5" i="90"/>
  <c r="O1" i="90" l="1"/>
  <c r="AU25" i="90"/>
  <c r="AV25" i="90"/>
  <c r="AU24" i="90"/>
  <c r="AV24" i="90"/>
  <c r="AU23" i="90"/>
  <c r="AV23" i="90"/>
  <c r="AU22" i="90"/>
  <c r="AV22" i="90"/>
  <c r="AU21" i="90"/>
  <c r="AV21" i="90"/>
  <c r="AU18" i="90"/>
  <c r="AV18" i="90"/>
  <c r="AU19" i="90"/>
  <c r="AV19" i="90"/>
  <c r="AU20" i="90"/>
  <c r="AV20" i="90"/>
  <c r="N3" i="90" l="1"/>
  <c r="N4" i="90"/>
  <c r="AP25" i="90"/>
  <c r="BE25" i="90" s="1"/>
  <c r="BA25" i="90" s="1"/>
  <c r="AP24" i="90"/>
  <c r="BE24" i="90" s="1"/>
  <c r="BA24" i="90" s="1"/>
  <c r="AP23" i="90"/>
  <c r="BE23" i="90" s="1"/>
  <c r="BA23" i="90" s="1"/>
  <c r="AP22" i="90"/>
  <c r="BE22" i="90" s="1"/>
  <c r="BA22" i="90" s="1"/>
  <c r="AP21" i="90"/>
  <c r="BE21" i="90" s="1"/>
  <c r="BA21" i="90" s="1"/>
  <c r="BF30" i="90" l="1"/>
  <c r="BF36" i="90"/>
  <c r="BF33" i="90"/>
  <c r="BF27" i="90"/>
  <c r="BF44" i="90"/>
  <c r="BF38" i="90"/>
  <c r="BF49" i="90"/>
  <c r="BF43" i="90"/>
  <c r="BF35" i="90"/>
  <c r="BF29" i="90"/>
  <c r="BF26" i="90"/>
  <c r="BF39" i="90"/>
  <c r="BF34" i="90"/>
  <c r="BF41" i="90"/>
  <c r="BF37" i="90"/>
  <c r="BF28" i="90"/>
  <c r="BF45" i="90"/>
  <c r="BF46" i="90"/>
  <c r="BF31" i="90"/>
  <c r="BF48" i="90"/>
  <c r="BF32" i="90"/>
  <c r="BF40" i="90"/>
  <c r="BF51" i="90"/>
  <c r="BF42" i="90"/>
  <c r="BF50" i="90"/>
  <c r="BF47" i="90"/>
  <c r="AW22" i="90"/>
  <c r="AZ22" i="90" s="1"/>
  <c r="AQ24" i="90"/>
  <c r="AW21" i="90"/>
  <c r="AZ21" i="90" s="1"/>
  <c r="AW25" i="90"/>
  <c r="AZ25" i="90" s="1"/>
  <c r="AQ25" i="90"/>
  <c r="AW24" i="90"/>
  <c r="AZ24" i="90" s="1"/>
  <c r="AQ23" i="90"/>
  <c r="AW23" i="90"/>
  <c r="AZ23" i="90" s="1"/>
  <c r="AQ22" i="90"/>
  <c r="AQ21" i="90"/>
  <c r="B2" i="90" l="1"/>
  <c r="AP20" i="90" l="1"/>
  <c r="BE20" i="90" s="1"/>
  <c r="BA20" i="90" s="1"/>
  <c r="AP19" i="90"/>
  <c r="BE19" i="90" s="1"/>
  <c r="BA19" i="90" s="1"/>
  <c r="AP18" i="90"/>
  <c r="BE18" i="90" s="1"/>
  <c r="BA18" i="90" s="1"/>
  <c r="AU17" i="90"/>
  <c r="AV17" i="90"/>
  <c r="AU16" i="90"/>
  <c r="AV16" i="90"/>
  <c r="AU15" i="90"/>
  <c r="AV15" i="90"/>
  <c r="AE11" i="90"/>
  <c r="AD12" i="90" s="1"/>
  <c r="AW20" i="90" l="1"/>
  <c r="AZ20" i="90" s="1"/>
  <c r="AQ20" i="90"/>
  <c r="AQ18" i="90"/>
  <c r="AW18" i="90"/>
  <c r="AZ18" i="90" s="1"/>
  <c r="AQ19" i="90"/>
  <c r="AW19" i="90"/>
  <c r="AZ19" i="90" s="1"/>
  <c r="AP16" i="90"/>
  <c r="BE16" i="90" s="1"/>
  <c r="BA16" i="90" s="1"/>
  <c r="AP17" i="90"/>
  <c r="BE17" i="90" s="1"/>
  <c r="BA17" i="90" s="1"/>
  <c r="AP15" i="90"/>
  <c r="BE15" i="90" s="1"/>
  <c r="BA15" i="90" s="1"/>
  <c r="AW17" i="90" l="1"/>
  <c r="AZ17" i="90" s="1"/>
  <c r="AQ16" i="90"/>
  <c r="AW16" i="90"/>
  <c r="AZ16" i="90" s="1"/>
  <c r="AQ17" i="90"/>
  <c r="AW15" i="90"/>
  <c r="AZ15" i="90" s="1"/>
  <c r="AQ15" i="90"/>
  <c r="O6" i="90" l="1"/>
  <c r="O5" i="90"/>
  <c r="O2" i="90"/>
  <c r="O7" i="90"/>
  <c r="AM6" i="90" l="1"/>
  <c r="AV14" i="90"/>
  <c r="AU14" i="90"/>
  <c r="AV13" i="90"/>
  <c r="AU13" i="90"/>
  <c r="AV12" i="90"/>
  <c r="AU12" i="90"/>
  <c r="AS12" i="90"/>
  <c r="C12" i="90"/>
  <c r="AE12" i="90" l="1"/>
  <c r="K3" i="90"/>
  <c r="BF24" i="90"/>
  <c r="BF23" i="90"/>
  <c r="BF25" i="90"/>
  <c r="BF22" i="90"/>
  <c r="BF21" i="90"/>
  <c r="BF20" i="90"/>
  <c r="BF19" i="90"/>
  <c r="BF18" i="90"/>
  <c r="BF15" i="90"/>
  <c r="BF17" i="90"/>
  <c r="BF16" i="90"/>
  <c r="AD13" i="90"/>
  <c r="AE13" i="90" s="1"/>
  <c r="AF12" i="90"/>
  <c r="AG12" i="90" s="1"/>
  <c r="AJ12" i="90" s="1"/>
  <c r="AP14" i="90"/>
  <c r="BE14" i="90" s="1"/>
  <c r="BA14" i="90" s="1"/>
  <c r="AP12" i="90"/>
  <c r="BE12" i="90" s="1"/>
  <c r="BA12" i="90" s="1"/>
  <c r="AP13" i="90"/>
  <c r="BE13" i="90" s="1"/>
  <c r="BA13" i="90" s="1"/>
  <c r="AW13" i="90" l="1"/>
  <c r="AZ13" i="90" s="1"/>
  <c r="AW12" i="90"/>
  <c r="AZ12" i="90" s="1"/>
  <c r="AQ14" i="90"/>
  <c r="AQ13" i="90"/>
  <c r="AW14" i="90"/>
  <c r="AZ14" i="90" s="1"/>
  <c r="AQ12" i="90"/>
  <c r="K2" i="90" s="1"/>
  <c r="BF14" i="90"/>
  <c r="AH12" i="90"/>
  <c r="AT12" i="90"/>
  <c r="BF13" i="90" l="1"/>
  <c r="BF12" i="90"/>
  <c r="AF13" i="90"/>
  <c r="AG13" i="90" s="1"/>
  <c r="AJ13" i="90" s="1"/>
  <c r="AS13" i="90"/>
  <c r="AD14" i="90"/>
  <c r="AE14" i="90" s="1"/>
  <c r="AI12" i="90"/>
  <c r="AK12" i="90" l="1"/>
  <c r="AM12" i="90" s="1"/>
  <c r="O3" i="90"/>
  <c r="K4" i="90"/>
  <c r="AH13" i="90"/>
  <c r="AI13" i="90" s="1"/>
  <c r="AT13" i="90"/>
  <c r="BD12" i="90" l="1"/>
  <c r="AY12" i="90"/>
  <c r="AK13" i="90"/>
  <c r="AM13" i="90" s="1"/>
  <c r="AM2" i="90"/>
  <c r="AF14" i="90"/>
  <c r="AG14" i="90" s="1"/>
  <c r="AJ14" i="90" s="1"/>
  <c r="AS14" i="90"/>
  <c r="AD15" i="90"/>
  <c r="AE15" i="90" s="1"/>
  <c r="BD13" i="90" l="1"/>
  <c r="AY13" i="90"/>
  <c r="AS15" i="90"/>
  <c r="AF15" i="90"/>
  <c r="AG15" i="90" s="1"/>
  <c r="AJ15" i="90" s="1"/>
  <c r="AD16" i="90"/>
  <c r="AE16" i="90" s="1"/>
  <c r="AH14" i="90"/>
  <c r="AI14" i="90" s="1"/>
  <c r="AK14" i="90" s="1"/>
  <c r="AT14" i="90"/>
  <c r="AT15" i="90" l="1"/>
  <c r="AH15" i="90"/>
  <c r="AI15" i="90" s="1"/>
  <c r="AM14" i="90"/>
  <c r="AK15" i="90" l="1"/>
  <c r="AM15" i="90" s="1"/>
  <c r="BD14" i="90"/>
  <c r="AY14" i="90"/>
  <c r="AD17" i="90"/>
  <c r="AE17" i="90" s="1"/>
  <c r="AF16" i="90"/>
  <c r="AS16" i="90"/>
  <c r="BD15" i="90" l="1"/>
  <c r="AY15" i="90"/>
  <c r="AG16" i="90"/>
  <c r="AJ16" i="90" s="1"/>
  <c r="AH16" i="90"/>
  <c r="AI16" i="90" s="1"/>
  <c r="AK16" i="90" s="1"/>
  <c r="AT16" i="90"/>
  <c r="AM16" i="90" l="1"/>
  <c r="AF17" i="90"/>
  <c r="AS17" i="90"/>
  <c r="AD18" i="90"/>
  <c r="AE18" i="90" s="1"/>
  <c r="BD16" i="90" l="1"/>
  <c r="AY16" i="90"/>
  <c r="AF18" i="90"/>
  <c r="AG18" i="90" s="1"/>
  <c r="AJ18" i="90" s="1"/>
  <c r="AS18" i="90"/>
  <c r="AD19" i="90"/>
  <c r="AE19" i="90" s="1"/>
  <c r="AT17" i="90"/>
  <c r="AH17" i="90"/>
  <c r="AI17" i="90" s="1"/>
  <c r="AK17" i="90" s="1"/>
  <c r="AG17" i="90"/>
  <c r="AJ17" i="90" s="1"/>
  <c r="AM17" i="90" l="1"/>
  <c r="AH18" i="90"/>
  <c r="AI18" i="90" s="1"/>
  <c r="AT18" i="90"/>
  <c r="AK18" i="90" l="1"/>
  <c r="AM18" i="90" s="1"/>
  <c r="AY17" i="90"/>
  <c r="BD17" i="90"/>
  <c r="AS19" i="90"/>
  <c r="AF19" i="90"/>
  <c r="AG19" i="90" s="1"/>
  <c r="AJ19" i="90" s="1"/>
  <c r="AD20" i="90"/>
  <c r="AE20" i="90" s="1"/>
  <c r="AY18" i="90" l="1"/>
  <c r="BD18" i="90"/>
  <c r="AT19" i="90"/>
  <c r="AH19" i="90"/>
  <c r="AI19" i="90" s="1"/>
  <c r="AK19" i="90" l="1"/>
  <c r="AM19" i="90" s="1"/>
  <c r="AF20" i="90"/>
  <c r="AG20" i="90" s="1"/>
  <c r="AJ20" i="90" s="1"/>
  <c r="AS20" i="90"/>
  <c r="AD21" i="90"/>
  <c r="AE21" i="90" s="1"/>
  <c r="AY19" i="90" l="1"/>
  <c r="BD19" i="90"/>
  <c r="AD22" i="90"/>
  <c r="AE22" i="90" s="1"/>
  <c r="AF21" i="90"/>
  <c r="AS21" i="90"/>
  <c r="AH20" i="90"/>
  <c r="AI20" i="90" s="1"/>
  <c r="AK20" i="90" s="1"/>
  <c r="AT20" i="90"/>
  <c r="AS22" i="90" l="1"/>
  <c r="AF22" i="90"/>
  <c r="AD23" i="90"/>
  <c r="AE23" i="90" s="1"/>
  <c r="AG21" i="90"/>
  <c r="AJ21" i="90" s="1"/>
  <c r="AH21" i="90"/>
  <c r="AI21" i="90" s="1"/>
  <c r="AK21" i="90" s="1"/>
  <c r="AT21" i="90"/>
  <c r="AM20" i="90"/>
  <c r="AY20" i="90" l="1"/>
  <c r="BD20" i="90"/>
  <c r="AH22" i="90"/>
  <c r="AI22" i="90" s="1"/>
  <c r="AK22" i="90" s="1"/>
  <c r="AT22" i="90"/>
  <c r="AG22" i="90"/>
  <c r="AJ22" i="90" s="1"/>
  <c r="AM21" i="90"/>
  <c r="BD21" i="90" l="1"/>
  <c r="AY21" i="90"/>
  <c r="AM22" i="90"/>
  <c r="AF23" i="90"/>
  <c r="AD24" i="90"/>
  <c r="AE24" i="90" s="1"/>
  <c r="AS23" i="90"/>
  <c r="BD22" i="90" l="1"/>
  <c r="AY22" i="90"/>
  <c r="AG23" i="90"/>
  <c r="AJ23" i="90" s="1"/>
  <c r="AH23" i="90"/>
  <c r="AI23" i="90" s="1"/>
  <c r="AK23" i="90" s="1"/>
  <c r="AT23" i="90"/>
  <c r="AM23" i="90" l="1"/>
  <c r="AD25" i="90"/>
  <c r="AE25" i="90" s="1"/>
  <c r="AD26" i="90" s="1"/>
  <c r="AF24" i="90"/>
  <c r="AG24" i="90" s="1"/>
  <c r="AJ24" i="90" s="1"/>
  <c r="AS24" i="90"/>
  <c r="BD23" i="90" l="1"/>
  <c r="AY23" i="90"/>
  <c r="AE26" i="90"/>
  <c r="AS26" i="90"/>
  <c r="AF26" i="90"/>
  <c r="AH24" i="90"/>
  <c r="AI24" i="90" s="1"/>
  <c r="AK24" i="90" s="1"/>
  <c r="AT24" i="90"/>
  <c r="AG26" i="90" l="1"/>
  <c r="AJ26" i="90" s="1"/>
  <c r="AT26" i="90"/>
  <c r="AD27" i="90"/>
  <c r="AH26" i="90"/>
  <c r="AI26" i="90" s="1"/>
  <c r="AK26" i="90" s="1"/>
  <c r="AM24" i="90"/>
  <c r="AF25" i="90"/>
  <c r="AS25" i="90"/>
  <c r="BD24" i="90" l="1"/>
  <c r="AY24" i="90"/>
  <c r="AM26" i="90"/>
  <c r="AF27" i="90"/>
  <c r="AG27" i="90" s="1"/>
  <c r="AJ27" i="90" s="1"/>
  <c r="AE27" i="90"/>
  <c r="AS27" i="90"/>
  <c r="AT25" i="90"/>
  <c r="AH25" i="90"/>
  <c r="AI25" i="90" s="1"/>
  <c r="AK25" i="90" s="1"/>
  <c r="AG25" i="90"/>
  <c r="AJ25" i="90" s="1"/>
  <c r="BD26" i="90" l="1"/>
  <c r="AY26" i="90"/>
  <c r="AH27" i="90"/>
  <c r="AI27" i="90" s="1"/>
  <c r="AT27" i="90"/>
  <c r="AD28" i="90"/>
  <c r="AM25" i="90"/>
  <c r="AK27" i="90" l="1"/>
  <c r="AM27" i="90" s="1"/>
  <c r="BD25" i="90"/>
  <c r="AY25" i="90"/>
  <c r="AE28" i="90"/>
  <c r="AF28" i="90"/>
  <c r="AG28" i="90" s="1"/>
  <c r="AJ28" i="90" s="1"/>
  <c r="AS28" i="90"/>
  <c r="AY27" i="90" l="1"/>
  <c r="BD27" i="90"/>
  <c r="AT28" i="90"/>
  <c r="AH28" i="90"/>
  <c r="AI28" i="90" s="1"/>
  <c r="AK28" i="90" s="1"/>
  <c r="AD29" i="90"/>
  <c r="AS29" i="90" l="1"/>
  <c r="AF29" i="90"/>
  <c r="AE29" i="90"/>
  <c r="AM28" i="90"/>
  <c r="BD28" i="90" l="1"/>
  <c r="AY28" i="90"/>
  <c r="AH29" i="90"/>
  <c r="AI29" i="90" s="1"/>
  <c r="AK29" i="90" s="1"/>
  <c r="AD30" i="90"/>
  <c r="AT29" i="90"/>
  <c r="AG29" i="90"/>
  <c r="AJ29" i="90" s="1"/>
  <c r="AM29" i="90" l="1"/>
  <c r="AE30" i="90"/>
  <c r="AS30" i="90"/>
  <c r="AF30" i="90"/>
  <c r="AG30" i="90" s="1"/>
  <c r="AJ30" i="90" s="1"/>
  <c r="AY29" i="90" l="1"/>
  <c r="BD29" i="90"/>
  <c r="AT30" i="90"/>
  <c r="AH30" i="90"/>
  <c r="AI30" i="90" s="1"/>
  <c r="AK30" i="90" s="1"/>
  <c r="AD31" i="90"/>
  <c r="AE31" i="90" l="1"/>
  <c r="AS31" i="90"/>
  <c r="AF31" i="90"/>
  <c r="AG31" i="90" s="1"/>
  <c r="AJ31" i="90" s="1"/>
  <c r="AM30" i="90"/>
  <c r="AY30" i="90" l="1"/>
  <c r="BD30" i="90"/>
  <c r="AT31" i="90"/>
  <c r="AH31" i="90"/>
  <c r="AI31" i="90" s="1"/>
  <c r="AK31" i="90" s="1"/>
  <c r="AD32" i="90"/>
  <c r="AM31" i="90" l="1"/>
  <c r="AS32" i="90"/>
  <c r="AF32" i="90"/>
  <c r="AG32" i="90" s="1"/>
  <c r="AJ32" i="90" s="1"/>
  <c r="AE32" i="90"/>
  <c r="AY31" i="90" l="1"/>
  <c r="BD31" i="90"/>
  <c r="AT32" i="90"/>
  <c r="AH32" i="90"/>
  <c r="AI32" i="90" s="1"/>
  <c r="AD33" i="90"/>
  <c r="AK32" i="90" l="1"/>
  <c r="AM32" i="90" s="1"/>
  <c r="AS33" i="90"/>
  <c r="AF33" i="90"/>
  <c r="AG33" i="90" s="1"/>
  <c r="AJ33" i="90" s="1"/>
  <c r="AE33" i="90"/>
  <c r="AY32" i="90" l="1"/>
  <c r="BD32" i="90"/>
  <c r="AT33" i="90"/>
  <c r="AH33" i="90"/>
  <c r="AI33" i="90" s="1"/>
  <c r="AK33" i="90" s="1"/>
  <c r="AD34" i="90"/>
  <c r="AF34" i="90" l="1"/>
  <c r="AG34" i="90" s="1"/>
  <c r="AJ34" i="90" s="1"/>
  <c r="AE34" i="90"/>
  <c r="AS34" i="90"/>
  <c r="AM33" i="90"/>
  <c r="BD33" i="90" l="1"/>
  <c r="AY33" i="90"/>
  <c r="AH34" i="90"/>
  <c r="AI34" i="90" s="1"/>
  <c r="AT34" i="90"/>
  <c r="AD35" i="90"/>
  <c r="AK34" i="90" l="1"/>
  <c r="AM34" i="90" s="1"/>
  <c r="AS35" i="90"/>
  <c r="AF35" i="90"/>
  <c r="AG35" i="90" s="1"/>
  <c r="AJ35" i="90" s="1"/>
  <c r="AE35" i="90"/>
  <c r="AY34" i="90" l="1"/>
  <c r="BD34" i="90"/>
  <c r="AT35" i="90"/>
  <c r="AH35" i="90"/>
  <c r="AI35" i="90" s="1"/>
  <c r="AD36" i="90"/>
  <c r="AK35" i="90" l="1"/>
  <c r="AM35" i="90" s="1"/>
  <c r="AE36" i="90"/>
  <c r="AS36" i="90"/>
  <c r="AF36" i="90"/>
  <c r="AG36" i="90" s="1"/>
  <c r="AJ36" i="90" s="1"/>
  <c r="AY35" i="90" l="1"/>
  <c r="BD35" i="90"/>
  <c r="AD37" i="90"/>
  <c r="AT36" i="90"/>
  <c r="AH36" i="90"/>
  <c r="AI36" i="90" s="1"/>
  <c r="AK36" i="90" l="1"/>
  <c r="AM36" i="90" s="1"/>
  <c r="AE37" i="90"/>
  <c r="AS37" i="90"/>
  <c r="AF37" i="90"/>
  <c r="AG37" i="90" s="1"/>
  <c r="AJ37" i="90" s="1"/>
  <c r="AY36" i="90" l="1"/>
  <c r="BD36" i="90"/>
  <c r="AT37" i="90"/>
  <c r="AH37" i="90"/>
  <c r="AI37" i="90" s="1"/>
  <c r="AD38" i="90"/>
  <c r="AK37" i="90" l="1"/>
  <c r="AM37" i="90" s="1"/>
  <c r="AE38" i="90"/>
  <c r="AS38" i="90"/>
  <c r="AF38" i="90"/>
  <c r="AG38" i="90" s="1"/>
  <c r="AJ38" i="90" s="1"/>
  <c r="BD37" i="90" l="1"/>
  <c r="AY37" i="90"/>
  <c r="AT38" i="90"/>
  <c r="AH38" i="90"/>
  <c r="AI38" i="90" s="1"/>
  <c r="AK38" i="90" s="1"/>
  <c r="AD39" i="90"/>
  <c r="AM38" i="90" l="1"/>
  <c r="AF39" i="90"/>
  <c r="AG39" i="90" s="1"/>
  <c r="AJ39" i="90" s="1"/>
  <c r="AE39" i="90"/>
  <c r="AS39" i="90"/>
  <c r="BD38" i="90" l="1"/>
  <c r="AY38" i="90"/>
  <c r="AT39" i="90"/>
  <c r="AH39" i="90"/>
  <c r="AI39" i="90" s="1"/>
  <c r="AD40" i="90"/>
  <c r="AK39" i="90" l="1"/>
  <c r="AM39" i="90" s="1"/>
  <c r="AE40" i="90"/>
  <c r="AF40" i="90"/>
  <c r="AG40" i="90" s="1"/>
  <c r="AJ40" i="90" s="1"/>
  <c r="AS40" i="90"/>
  <c r="BD39" i="90" l="1"/>
  <c r="AY39" i="90"/>
  <c r="AT40" i="90"/>
  <c r="AH40" i="90"/>
  <c r="AI40" i="90" s="1"/>
  <c r="AD41" i="90"/>
  <c r="AK40" i="90" l="1"/>
  <c r="AM40" i="90" s="1"/>
  <c r="AE41" i="90"/>
  <c r="AS41" i="90"/>
  <c r="AF41" i="90"/>
  <c r="AG41" i="90" s="1"/>
  <c r="AJ41" i="90" s="1"/>
  <c r="BD40" i="90" l="1"/>
  <c r="AY40" i="90"/>
  <c r="AH41" i="90"/>
  <c r="AI41" i="90" s="1"/>
  <c r="AK41" i="90" s="1"/>
  <c r="AD42" i="90"/>
  <c r="AT41" i="90"/>
  <c r="AS42" i="90" l="1"/>
  <c r="AF42" i="90"/>
  <c r="AG42" i="90" s="1"/>
  <c r="AJ42" i="90" s="1"/>
  <c r="AE42" i="90"/>
  <c r="AM41" i="90"/>
  <c r="AY41" i="90" l="1"/>
  <c r="BD41" i="90"/>
  <c r="AT42" i="90"/>
  <c r="AH42" i="90"/>
  <c r="AI42" i="90" s="1"/>
  <c r="AK42" i="90" s="1"/>
  <c r="AD43" i="90"/>
  <c r="AE43" i="90" l="1"/>
  <c r="AS43" i="90"/>
  <c r="AF43" i="90"/>
  <c r="AG43" i="90" s="1"/>
  <c r="AJ43" i="90" s="1"/>
  <c r="AM42" i="90"/>
  <c r="AY42" i="90" l="1"/>
  <c r="BD42" i="90"/>
  <c r="AT43" i="90"/>
  <c r="AH43" i="90"/>
  <c r="AI43" i="90" s="1"/>
  <c r="AK43" i="90" s="1"/>
  <c r="AD44" i="90"/>
  <c r="AM43" i="90" l="1"/>
  <c r="AS44" i="90"/>
  <c r="AF44" i="90"/>
  <c r="AG44" i="90" s="1"/>
  <c r="AJ44" i="90" s="1"/>
  <c r="AE44" i="90"/>
  <c r="AY43" i="90" l="1"/>
  <c r="BD43" i="90"/>
  <c r="AT44" i="90"/>
  <c r="AH44" i="90"/>
  <c r="AD45" i="90"/>
  <c r="AI44" i="90"/>
  <c r="AK44" i="90" l="1"/>
  <c r="AM44" i="90" s="1"/>
  <c r="AE45" i="90"/>
  <c r="AF45" i="90"/>
  <c r="AG45" i="90" s="1"/>
  <c r="AJ45" i="90" s="1"/>
  <c r="AS45" i="90"/>
  <c r="BD44" i="90" l="1"/>
  <c r="AY44" i="90"/>
  <c r="AH45" i="90"/>
  <c r="AI45" i="90" s="1"/>
  <c r="AK45" i="90" s="1"/>
  <c r="AT45" i="90"/>
  <c r="AD46" i="90"/>
  <c r="AE46" i="90" l="1"/>
  <c r="AF46" i="90"/>
  <c r="AG46" i="90" s="1"/>
  <c r="AJ46" i="90" s="1"/>
  <c r="AS46" i="90"/>
  <c r="AM45" i="90"/>
  <c r="BD45" i="90" l="1"/>
  <c r="AY45" i="90"/>
  <c r="AT46" i="90"/>
  <c r="AH46" i="90"/>
  <c r="AD47" i="90"/>
  <c r="AS47" i="90" l="1"/>
  <c r="AF47" i="90"/>
  <c r="AG47" i="90" s="1"/>
  <c r="AJ47" i="90" s="1"/>
  <c r="AE47" i="90"/>
  <c r="AI46" i="90"/>
  <c r="AK46" i="90" l="1"/>
  <c r="AM46" i="90" s="1"/>
  <c r="AT47" i="90"/>
  <c r="AD48" i="90"/>
  <c r="AH47" i="90"/>
  <c r="AI47" i="90" s="1"/>
  <c r="BD46" i="90" l="1"/>
  <c r="AY46" i="90"/>
  <c r="AK47" i="90"/>
  <c r="AM47" i="90" s="1"/>
  <c r="AE48" i="90"/>
  <c r="AS48" i="90"/>
  <c r="AF48" i="90"/>
  <c r="BD47" i="90" l="1"/>
  <c r="AY47" i="90"/>
  <c r="AG48" i="90"/>
  <c r="AJ48" i="90" s="1"/>
  <c r="AD49" i="90"/>
  <c r="AH48" i="90"/>
  <c r="AI48" i="90" s="1"/>
  <c r="AK48" i="90" s="1"/>
  <c r="AT48" i="90"/>
  <c r="AM48" i="90" l="1"/>
  <c r="AS49" i="90"/>
  <c r="AE49" i="90"/>
  <c r="AF49" i="90"/>
  <c r="AG49" i="90" s="1"/>
  <c r="AJ49" i="90" s="1"/>
  <c r="BD48" i="90" l="1"/>
  <c r="AY48" i="90"/>
  <c r="AH49" i="90"/>
  <c r="AI49" i="90" s="1"/>
  <c r="AT49" i="90"/>
  <c r="AD50" i="90"/>
  <c r="AK49" i="90" l="1"/>
  <c r="AM49" i="90" s="1"/>
  <c r="AE50" i="90"/>
  <c r="AF50" i="90"/>
  <c r="AG50" i="90" s="1"/>
  <c r="AJ50" i="90" s="1"/>
  <c r="AS50" i="90"/>
  <c r="BD49" i="90" l="1"/>
  <c r="AY49" i="90"/>
  <c r="AT50" i="90"/>
  <c r="AH50" i="90"/>
  <c r="AI50" i="90" s="1"/>
  <c r="AD51" i="90"/>
  <c r="AK50" i="90" l="1"/>
  <c r="AM50" i="90" s="1"/>
  <c r="AE51" i="90"/>
  <c r="AF51" i="90"/>
  <c r="AG51" i="90" s="1"/>
  <c r="AJ51" i="90" s="1"/>
  <c r="AS51" i="90"/>
  <c r="BD50" i="90" l="1"/>
  <c r="AY50" i="90"/>
  <c r="AT51" i="90"/>
  <c r="AH51" i="90"/>
  <c r="AI51" i="90" s="1"/>
  <c r="AK51" i="90" l="1"/>
  <c r="AM51" i="90" s="1"/>
  <c r="BD51" i="90" l="1"/>
  <c r="AY51" i="90"/>
</calcChain>
</file>

<file path=xl/sharedStrings.xml><?xml version="1.0" encoding="utf-8"?>
<sst xmlns="http://schemas.openxmlformats.org/spreadsheetml/2006/main" count="227" uniqueCount="193">
  <si>
    <t>Вид дефекта</t>
  </si>
  <si>
    <r>
      <t xml:space="preserve">Значение показателя </t>
    </r>
    <r>
      <rPr>
        <b/>
        <sz val="16"/>
        <color rgb="FF003366"/>
        <rFont val="Arial"/>
        <family val="2"/>
        <charset val="204"/>
      </rPr>
      <t>ρ</t>
    </r>
    <r>
      <rPr>
        <b/>
        <sz val="12"/>
        <color rgb="FF003366"/>
        <rFont val="Arial"/>
        <family val="2"/>
        <charset val="204"/>
      </rPr>
      <t xml:space="preserve"> при типе дорожных одежд</t>
    </r>
  </si>
  <si>
    <t>Оценка в баллах</t>
  </si>
  <si>
    <t>Усовершен- ствованные капитальные</t>
  </si>
  <si>
    <t>Усовершен- ствованные облегченные</t>
  </si>
  <si>
    <t>Переходные</t>
  </si>
  <si>
    <t xml:space="preserve">без дефектов; </t>
  </si>
  <si>
    <t>без деф</t>
  </si>
  <si>
    <t xml:space="preserve">поперечные одиночные трещины на расстоянии 20-40 м между трещинами; </t>
  </si>
  <si>
    <t>пт2040</t>
  </si>
  <si>
    <t xml:space="preserve">поперечные одиночные трещины на расстоянии 10-20 м; </t>
  </si>
  <si>
    <t>пт1020</t>
  </si>
  <si>
    <t xml:space="preserve">поперечные редкие трещины на расстоянии 8-10 м; </t>
  </si>
  <si>
    <t>пт810</t>
  </si>
  <si>
    <t xml:space="preserve">поперечные редкие трещины на расстоянии 6-8 м; </t>
  </si>
  <si>
    <t>пт68</t>
  </si>
  <si>
    <t xml:space="preserve">поперечные редкие трещины на расстоянии 4-6 м; </t>
  </si>
  <si>
    <t>пт46</t>
  </si>
  <si>
    <t xml:space="preserve">поперечные частые трещины на расстоянии 3-4 м; </t>
  </si>
  <si>
    <t>-</t>
  </si>
  <si>
    <t>пт34</t>
  </si>
  <si>
    <t xml:space="preserve">поперечные частые трещины на расстоянии 2-3 м; </t>
  </si>
  <si>
    <t>пт23</t>
  </si>
  <si>
    <t xml:space="preserve">поперечные частые трещины на расстоянии 1-2 м; </t>
  </si>
  <si>
    <t>пт12</t>
  </si>
  <si>
    <t xml:space="preserve">продольная центральная трещина; </t>
  </si>
  <si>
    <t>по</t>
  </si>
  <si>
    <t xml:space="preserve">продольные боковые трещины; </t>
  </si>
  <si>
    <t>пб</t>
  </si>
  <si>
    <t xml:space="preserve">одиночная сетка трещин на площади до 10 м с крупными ячейками (сторона ячейки более 0,5 м); </t>
  </si>
  <si>
    <t>одкр</t>
  </si>
  <si>
    <t xml:space="preserve">одиночная сетка трещин на площади до 10 м с мелкими ячейками (сторона ячейки менее 0,5 м); </t>
  </si>
  <si>
    <t>одмел</t>
  </si>
  <si>
    <t xml:space="preserve">густая сетка трещин на площади до 10 м; </t>
  </si>
  <si>
    <t>гсет</t>
  </si>
  <si>
    <t xml:space="preserve">сетка трещин на площади более 10м при относительной площади, занимаемой сеткой, 30-10%; </t>
  </si>
  <si>
    <t>мс30</t>
  </si>
  <si>
    <t xml:space="preserve">сетка трещин на площади более 10м при относительной площади, 60-30%; </t>
  </si>
  <si>
    <t>мс60</t>
  </si>
  <si>
    <t xml:space="preserve">сетка трещин на площади более 10м при относительной площади, 90-60%; </t>
  </si>
  <si>
    <t>мс90</t>
  </si>
  <si>
    <t xml:space="preserve">колейность при средней глубине колеи до 10 мм; </t>
  </si>
  <si>
    <t>кол10</t>
  </si>
  <si>
    <t xml:space="preserve">колейность при средней глубине колеи 10-20 мм; </t>
  </si>
  <si>
    <t>кол20</t>
  </si>
  <si>
    <t xml:space="preserve">колейность при средней глубине колеи 20-30 мм; </t>
  </si>
  <si>
    <t>кол30</t>
  </si>
  <si>
    <t xml:space="preserve">колейность при средней глубине колеи 30-40 мм; </t>
  </si>
  <si>
    <t>кол40</t>
  </si>
  <si>
    <t xml:space="preserve">колейность при средней глубине колеи 40-50 мм; </t>
  </si>
  <si>
    <t>кол50</t>
  </si>
  <si>
    <t xml:space="preserve">колейность при средней глубине колеи 50-70 мм; </t>
  </si>
  <si>
    <t>кол70</t>
  </si>
  <si>
    <t xml:space="preserve">колейность при средней глубине колеи более 70 мм; </t>
  </si>
  <si>
    <t>кол80</t>
  </si>
  <si>
    <t xml:space="preserve">просадки (пучины) при относительной площади просадок 20-10%; </t>
  </si>
  <si>
    <t>прос10</t>
  </si>
  <si>
    <t xml:space="preserve">просадки (пучины) при относительной площади просадок 50-20%; </t>
  </si>
  <si>
    <t>прос20</t>
  </si>
  <si>
    <t xml:space="preserve">просадки (пучины) при относительной площади просадок более 50%; </t>
  </si>
  <si>
    <t>прос50</t>
  </si>
  <si>
    <t xml:space="preserve">проломы дорожной одежды (вскрывшиеся пучины) при относительной площади, занимаемой проломами, 10-5%; </t>
  </si>
  <si>
    <t>прол5</t>
  </si>
  <si>
    <t xml:space="preserve">проломы дорожной одежды (вскрывшиеся пучины) при относительной площади, занимаемой проломами, 30-10%; </t>
  </si>
  <si>
    <t>прол10</t>
  </si>
  <si>
    <t xml:space="preserve">проломы дорожной одежды (вскрывшиеся пучины) при относительной площади, занимаемой проломами, более 30%; </t>
  </si>
  <si>
    <t>прол30</t>
  </si>
  <si>
    <t xml:space="preserve">одиночные выбоины на расстоянии более 20 м; </t>
  </si>
  <si>
    <t>одвыб</t>
  </si>
  <si>
    <t xml:space="preserve">отдельные выбоины на расстоянии 10-20 м; </t>
  </si>
  <si>
    <t>отвыб</t>
  </si>
  <si>
    <t xml:space="preserve">редкие выбоины на расстоянии 4-10 м; </t>
  </si>
  <si>
    <t>рвыб</t>
  </si>
  <si>
    <t xml:space="preserve">частые выбоины на расстоянии 1-4 м; </t>
  </si>
  <si>
    <t>чвыб</t>
  </si>
  <si>
    <t xml:space="preserve">карты заделанных выбоин, залитые трещины; </t>
  </si>
  <si>
    <t>кар</t>
  </si>
  <si>
    <t xml:space="preserve">поперечные волны, сдвиги; </t>
  </si>
  <si>
    <t>вол</t>
  </si>
  <si>
    <t>пгс</t>
  </si>
  <si>
    <t>Ширина</t>
  </si>
  <si>
    <t>Покрытие</t>
  </si>
  <si>
    <t>Тип ДО</t>
  </si>
  <si>
    <t>Категория</t>
  </si>
  <si>
    <t>III</t>
  </si>
  <si>
    <t>Бср</t>
  </si>
  <si>
    <t>Прот ПГС; грунт</t>
  </si>
  <si>
    <t>IV</t>
  </si>
  <si>
    <t>фото</t>
  </si>
  <si>
    <t>грунт</t>
  </si>
  <si>
    <t>Протяженность</t>
  </si>
  <si>
    <t>II</t>
  </si>
  <si>
    <t>V</t>
  </si>
  <si>
    <t>I-б</t>
  </si>
  <si>
    <t>Начало, км</t>
  </si>
  <si>
    <t>грул</t>
  </si>
  <si>
    <t>разр аб</t>
  </si>
  <si>
    <t>грунтовая дорога;</t>
  </si>
  <si>
    <t>разрушенный асфальтобетон;</t>
  </si>
  <si>
    <t>песчано-гравийное покрытие;</t>
  </si>
  <si>
    <t>грунтовое улучшенное покрытие;</t>
  </si>
  <si>
    <t>плиты</t>
  </si>
  <si>
    <t>бетонные плиты</t>
  </si>
  <si>
    <t>гр2040</t>
  </si>
  <si>
    <t>гр1020</t>
  </si>
  <si>
    <t>гр810</t>
  </si>
  <si>
    <t>гр68</t>
  </si>
  <si>
    <t>гр46</t>
  </si>
  <si>
    <t>пг68</t>
  </si>
  <si>
    <t>пг810</t>
  </si>
  <si>
    <t>пг2040</t>
  </si>
  <si>
    <t>пг1020</t>
  </si>
  <si>
    <t>пг46</t>
  </si>
  <si>
    <t>щ2040</t>
  </si>
  <si>
    <t>щ1020</t>
  </si>
  <si>
    <t>щ810</t>
  </si>
  <si>
    <t>щ68</t>
  </si>
  <si>
    <t>щ46</t>
  </si>
  <si>
    <t>Кпр</t>
  </si>
  <si>
    <t>Таким образом, в соответствии с результатами камеральной обработки данных, состояние покрытия дороги является допустимым и не требует ремонта. Перед началом использования участка автодороги для доставки грузов ремонтно-восстановительные работы допускается не проводить.</t>
  </si>
  <si>
    <t>Таким образом, в соответствии с результатами камеральной обработки данных, состояние покрытия дороги является удовлетворительным. При значительном увеличении нагрузки на дорожную одежду без проведения ремонтно-восстановительных мероприятий прогнозируется снижение несущей способности до недопустимых значений. Перед пропуском необходимой нагрузки необходимо устранить дефекты проезжей части, а также включить мероприятия по восстановлению вновь образовавшихся дефектов после проезда нагрузки.</t>
  </si>
  <si>
    <t>Таким образом, в соответствии с результатами камеральной обработки данных, состояние покрытия дороги является неудовлетворительным. Существующие дефекты свидетельствуют о снижении несущей способности основания дорожной одежды, а также о риске разрушения дорожной одежды в случае интенсивного движения грузового транспорта. Перед пропуском необходимой нагрузки необходимо устранить дефекты проезжей части, а также предусмотреть частичное переустройство покрытия после проезда нагрузки.</t>
  </si>
  <si>
    <t>Таким образом, в соответствии с результатами камеральной обработки данных, состояние покрытия дороги является недопустимым. Состояние дорожной одежды не позволяет осуществить интенсивное движение грузового транспорта. Для пропуска необходимой нагрузки необходимо выполнение ремонтно-восстановительных мероприятия по частичному переустройству слоев асфальтобетонных покрытий.</t>
  </si>
  <si>
    <t xml:space="preserve">В основу принятия решения о проведении ремонтно-восстановительных мероприятий положены результаты оценки фактических значений параметров и характеристик конструктивных элементов автомобильных дорог с учетом временного изменения состава транспортного потока и интенсивности движения за счет перевозки грузов при строительстве объекта. По результатам обследования участка автодороги значение средневзвешенного балла на участке автодороги составляет </t>
  </si>
  <si>
    <t xml:space="preserve">, средневзвешенного коэффициента прочности – </t>
  </si>
  <si>
    <t xml:space="preserve">. </t>
  </si>
  <si>
    <t>от</t>
  </si>
  <si>
    <t>до</t>
  </si>
  <si>
    <t>№</t>
  </si>
  <si>
    <t>Наименование</t>
  </si>
  <si>
    <t>Фото</t>
  </si>
  <si>
    <t>Принадлежность</t>
  </si>
  <si>
    <t>Используемый участок</t>
  </si>
  <si>
    <t>«»</t>
  </si>
  <si>
    <t>дорога</t>
  </si>
  <si>
    <t>подъезд</t>
  </si>
  <si>
    <t>улица</t>
  </si>
  <si>
    <t>Осевая нагрузка</t>
  </si>
  <si>
    <t xml:space="preserve">косые трещины; </t>
  </si>
  <si>
    <t xml:space="preserve">отдельные выбоины на щебеночном покрытии на расстоянии 20-40 м между выбоинами; </t>
  </si>
  <si>
    <t xml:space="preserve">отдельные выбоины на щебеночном покрытии на расстоянии 10-20 м между выбоинами; </t>
  </si>
  <si>
    <t xml:space="preserve">редкие выбоины на щебеночном покрытии на расстоянии 8-10 м между выбоинами; </t>
  </si>
  <si>
    <t xml:space="preserve">редкие выбоины на щебеночном покрытии на расстоянии 6-8 м между выбоинами; </t>
  </si>
  <si>
    <t xml:space="preserve">редкие выбоины на щебеночном покрытии на расстоянии 4-6 м между выбоинами; </t>
  </si>
  <si>
    <t xml:space="preserve">отдельные выбоины на гравийном покрытии на расстоянии 20-40 м между выбоинами; </t>
  </si>
  <si>
    <t xml:space="preserve">отдельные выбоины на гравийном покрытии на расстоянии 10-20 м между выбоинами; </t>
  </si>
  <si>
    <t xml:space="preserve">редкие выбоины на гравийном покрытии на расстоянии 8-10 м между выбоинами; </t>
  </si>
  <si>
    <t xml:space="preserve">редкие выбоины на гравийном покрытии на расстоянии 6-8 м между выбоинами; </t>
  </si>
  <si>
    <t xml:space="preserve">редкие выбоины на гравийном покрытии на расстоянии 4-6 м между выбоинами; </t>
  </si>
  <si>
    <t xml:space="preserve">отдельные выбоины на песчано-гравийном покрытии на расстоянии 20-40 м между выбоинами; </t>
  </si>
  <si>
    <t xml:space="preserve">отдельные выбоины на песчано-гравийном покрытии на расстоянии 10-20 м между выбоинами; </t>
  </si>
  <si>
    <t xml:space="preserve">редкие выбоины на песчано-гравийном покрытии на расстоянии 8-10 м между выбоинами; </t>
  </si>
  <si>
    <t xml:space="preserve">редкие выбоины на песчано-гравийном покрытии на расстоянии 6-8 м между выбоинами; </t>
  </si>
  <si>
    <t xml:space="preserve">редкие выбоины на песчано-гравийном покрытии на расстоянии 4-6 м между выбоинами; </t>
  </si>
  <si>
    <t>облегченная</t>
  </si>
  <si>
    <t>Широта начало</t>
  </si>
  <si>
    <t>Долгота начало</t>
  </si>
  <si>
    <t>Широта конец</t>
  </si>
  <si>
    <t>Долгота конец</t>
  </si>
  <si>
    <t>Для заметок (свои дефекты, дефекты на плитах итд)</t>
  </si>
  <si>
    <t>Наличие маршрута в книге</t>
  </si>
  <si>
    <t>маршрут есть</t>
  </si>
  <si>
    <t>кос</t>
  </si>
  <si>
    <t>пггр</t>
  </si>
  <si>
    <t>гребенка на песчано-гравийном покрытии;</t>
  </si>
  <si>
    <t>гргр</t>
  </si>
  <si>
    <t>Гребенка на гравийном покрытии;</t>
  </si>
  <si>
    <t xml:space="preserve">залитые поперечные одиночные трещины на расстоянии 20-40 м между трещинами; </t>
  </si>
  <si>
    <t xml:space="preserve">залитые поперечные одиночные трещины на расстоянии 10-20 м; </t>
  </si>
  <si>
    <t xml:space="preserve">залитые поперечные редкие трещины на расстоянии 8-10 м; </t>
  </si>
  <si>
    <t xml:space="preserve">залитые поперечные редкие трещины на расстоянии 6-8 м; </t>
  </si>
  <si>
    <t xml:space="preserve">залитые поперечные редкие трещины на расстоянии 4-6 м; </t>
  </si>
  <si>
    <t xml:space="preserve">залитые поперечные частые трещины на расстоянии 3-4 м; </t>
  </si>
  <si>
    <t xml:space="preserve">залитые поперечные частые трещины на расстоянии 2-3 м; </t>
  </si>
  <si>
    <t xml:space="preserve">залитые поперечные частые трещины на расстоянии 1-2 м; </t>
  </si>
  <si>
    <t xml:space="preserve">залитые продольные боковые трещины; </t>
  </si>
  <si>
    <t>зпб</t>
  </si>
  <si>
    <t>зпт1020</t>
  </si>
  <si>
    <t>зпт810</t>
  </si>
  <si>
    <t>зпт68</t>
  </si>
  <si>
    <t>зпт46</t>
  </si>
  <si>
    <t>зпт34</t>
  </si>
  <si>
    <t>зпт23</t>
  </si>
  <si>
    <t>зпт12</t>
  </si>
  <si>
    <t>зпт2040</t>
  </si>
  <si>
    <t>ям</t>
  </si>
  <si>
    <t>ямочный ремонт;</t>
  </si>
  <si>
    <t>I</t>
  </si>
  <si>
    <t>IV-в</t>
  </si>
  <si>
    <t>ширина</t>
  </si>
  <si>
    <t>покрытие</t>
  </si>
  <si>
    <t>Принадлежность
(Владелец)</t>
  </si>
  <si>
    <t>Классификация по принадлежности (фед/рег/местн и тд)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</si>
</sst>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#########"/>
    <numFmt numFmtId="167" formatCode="0.0000"/>
  </numFmts>
  <fonts count="21" x14ac:knownFonts="1">
    <font>
      <sz val="11"/>
      <color theme="1"/>
      <name val="Calibri"/>
      <family val="2"/>
      <charset val="204"/>
      <scheme val="minor"/>
    </font>
    <font>
      <b/>
      <sz val="12"/>
      <color rgb="FF003366"/>
      <name val="Arial"/>
      <family val="2"/>
      <charset val="204"/>
    </font>
    <font>
      <b/>
      <sz val="16"/>
      <color rgb="FF003366"/>
      <name val="Arial"/>
      <family val="2"/>
      <charset val="204"/>
    </font>
    <font>
      <sz val="13"/>
      <color theme="1"/>
      <name val="Times New Roman"/>
      <family val="1"/>
      <charset val="204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6F0FF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3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20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vertical="center" wrapText="1"/>
    </xf>
    <xf numFmtId="0" fontId="1" fillId="10" borderId="7" xfId="0" applyFont="1" applyFill="1" applyBorder="1" applyAlignment="1">
      <alignment horizontal="center" vertical="center" wrapText="1"/>
    </xf>
    <xf numFmtId="2" fontId="0" fillId="0" borderId="0" xfId="0" applyNumberFormat="1"/>
    <xf numFmtId="0" fontId="1" fillId="11" borderId="13" xfId="0" applyFont="1" applyFill="1" applyBorder="1" applyAlignment="1">
      <alignment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14" borderId="0" xfId="0" applyFill="1" applyAlignment="1" applyProtection="1">
      <alignment horizontal="center" vertical="center"/>
    </xf>
    <xf numFmtId="0" fontId="4" fillId="13" borderId="8" xfId="0" applyFont="1" applyFill="1" applyBorder="1" applyAlignment="1" applyProtection="1">
      <alignment horizontal="center" vertical="center"/>
      <protection locked="0"/>
    </xf>
    <xf numFmtId="0" fontId="1" fillId="11" borderId="13" xfId="0" applyFont="1" applyFill="1" applyBorder="1" applyAlignment="1">
      <alignment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4" fillId="16" borderId="9" xfId="0" applyFont="1" applyFill="1" applyBorder="1" applyAlignment="1" applyProtection="1">
      <alignment vertical="center"/>
      <protection locked="0"/>
    </xf>
    <xf numFmtId="0" fontId="0" fillId="16" borderId="11" xfId="0" applyFill="1" applyBorder="1" applyProtection="1">
      <protection locked="0"/>
    </xf>
    <xf numFmtId="0" fontId="0" fillId="16" borderId="10" xfId="0" applyFill="1" applyBorder="1" applyProtection="1">
      <protection locked="0"/>
    </xf>
    <xf numFmtId="0" fontId="0" fillId="0" borderId="0" xfId="0"/>
    <xf numFmtId="0" fontId="1" fillId="17" borderId="13" xfId="0" applyFont="1" applyFill="1" applyBorder="1" applyAlignment="1">
      <alignment vertical="center" wrapText="1"/>
    </xf>
    <xf numFmtId="0" fontId="1" fillId="17" borderId="13" xfId="0" applyFont="1" applyFill="1" applyBorder="1" applyAlignment="1">
      <alignment horizontal="center" vertical="center" wrapText="1"/>
    </xf>
    <xf numFmtId="0" fontId="0" fillId="0" borderId="0" xfId="0" applyFill="1"/>
    <xf numFmtId="0" fontId="1" fillId="3" borderId="13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vertical="center" wrapText="1"/>
    </xf>
    <xf numFmtId="0" fontId="1" fillId="15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 applyProtection="1">
      <alignment wrapText="1"/>
      <protection locked="0"/>
    </xf>
    <xf numFmtId="0" fontId="7" fillId="13" borderId="0" xfId="0" applyFont="1" applyFill="1" applyBorder="1" applyAlignment="1" applyProtection="1">
      <alignment horizontal="left"/>
      <protection locked="0"/>
    </xf>
    <xf numFmtId="0" fontId="6" fillId="13" borderId="0" xfId="0" applyFont="1" applyFill="1" applyBorder="1" applyAlignment="1" applyProtection="1">
      <alignment horizontal="center" vertical="center"/>
      <protection locked="0"/>
    </xf>
    <xf numFmtId="0" fontId="4" fillId="13" borderId="8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10" fillId="0" borderId="0" xfId="0" applyFont="1" applyProtection="1">
      <protection locked="0"/>
    </xf>
    <xf numFmtId="49" fontId="0" fillId="0" borderId="0" xfId="0" applyNumberFormat="1"/>
    <xf numFmtId="0" fontId="11" fillId="16" borderId="9" xfId="0" applyFont="1" applyFill="1" applyBorder="1" applyAlignment="1" applyProtection="1">
      <alignment horizontal="center" vertical="center" wrapText="1"/>
      <protection locked="0"/>
    </xf>
    <xf numFmtId="0" fontId="4" fillId="16" borderId="9" xfId="0" applyNumberFormat="1" applyFont="1" applyFill="1" applyBorder="1" applyAlignment="1" applyProtection="1">
      <alignment vertical="center"/>
      <protection locked="0"/>
    </xf>
    <xf numFmtId="0" fontId="9" fillId="12" borderId="8" xfId="0" applyFont="1" applyFill="1" applyBorder="1" applyAlignment="1">
      <alignment horizontal="center" vertical="center" wrapText="1"/>
    </xf>
    <xf numFmtId="165" fontId="9" fillId="12" borderId="8" xfId="0" applyNumberFormat="1" applyFont="1" applyFill="1" applyBorder="1" applyAlignment="1">
      <alignment horizontal="center" vertical="center" wrapText="1"/>
    </xf>
    <xf numFmtId="0" fontId="4" fillId="16" borderId="8" xfId="0" applyFont="1" applyFill="1" applyBorder="1" applyAlignment="1" applyProtection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3" fillId="18" borderId="0" xfId="0" applyFont="1" applyFill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1" fontId="9" fillId="12" borderId="8" xfId="0" applyNumberFormat="1" applyFont="1" applyFill="1" applyBorder="1" applyAlignment="1">
      <alignment horizontal="center" vertical="center" wrapText="1"/>
    </xf>
    <xf numFmtId="1" fontId="14" fillId="0" borderId="8" xfId="0" applyNumberFormat="1" applyFont="1" applyFill="1" applyBorder="1" applyAlignment="1" applyProtection="1">
      <alignment horizontal="center" vertical="center"/>
      <protection locked="0"/>
    </xf>
    <xf numFmtId="0" fontId="14" fillId="0" borderId="8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8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49" fontId="14" fillId="0" borderId="8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8" xfId="0" applyNumberFormat="1" applyFont="1" applyFill="1" applyBorder="1" applyAlignment="1" applyProtection="1">
      <alignment horizontal="center" vertical="center" wrapText="1"/>
      <protection locked="0"/>
    </xf>
    <xf numFmtId="165" fontId="14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8" xfId="0" applyFont="1" applyFill="1" applyBorder="1" applyAlignment="1">
      <alignment horizontal="center" vertical="center"/>
    </xf>
    <xf numFmtId="1" fontId="14" fillId="0" borderId="8" xfId="0" applyNumberFormat="1" applyFont="1" applyFill="1" applyBorder="1" applyAlignment="1">
      <alignment horizontal="center" vertical="center"/>
    </xf>
    <xf numFmtId="0" fontId="14" fillId="0" borderId="0" xfId="0" applyFont="1" applyFill="1"/>
    <xf numFmtId="49" fontId="14" fillId="0" borderId="0" xfId="0" applyNumberFormat="1" applyFont="1" applyFill="1"/>
    <xf numFmtId="0" fontId="14" fillId="0" borderId="0" xfId="0" applyFont="1" applyFill="1" applyAlignment="1">
      <alignment horizontal="left"/>
    </xf>
    <xf numFmtId="0" fontId="17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wrapText="1"/>
    </xf>
    <xf numFmtId="49" fontId="19" fillId="0" borderId="8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1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>
      <alignment horizontal="center" vertical="center" wrapText="1"/>
    </xf>
    <xf numFmtId="49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>
      <alignment horizontal="center" vertical="center" wrapText="1"/>
    </xf>
    <xf numFmtId="165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/>
    <xf numFmtId="49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164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>
      <alignment horizontal="center" vertical="center" wrapText="1"/>
    </xf>
    <xf numFmtId="0" fontId="0" fillId="0" borderId="0" xfId="0" applyBorder="1" applyProtection="1">
      <protection locked="0"/>
    </xf>
    <xf numFmtId="0" fontId="20" fillId="19" borderId="18" xfId="1" applyFill="1" applyBorder="1" applyAlignment="1" applyProtection="1">
      <alignment horizontal="center" vertical="center"/>
      <protection locked="0"/>
    </xf>
    <xf numFmtId="0" fontId="14" fillId="0" borderId="0" xfId="0" applyFont="1" applyBorder="1" applyAlignment="1">
      <alignment horizontal="right" vertical="center"/>
    </xf>
    <xf numFmtId="164" fontId="14" fillId="0" borderId="0" xfId="0" applyNumberFormat="1" applyFont="1" applyBorder="1" applyAlignment="1">
      <alignment horizontal="center" vertical="center"/>
    </xf>
    <xf numFmtId="164" fontId="3" fillId="13" borderId="20" xfId="0" applyNumberFormat="1" applyFont="1" applyFill="1" applyBorder="1" applyAlignment="1">
      <alignment horizontal="center" vertical="center"/>
    </xf>
    <xf numFmtId="164" fontId="3" fillId="14" borderId="20" xfId="0" applyNumberFormat="1" applyFont="1" applyFill="1" applyBorder="1" applyAlignment="1">
      <alignment horizontal="center" vertical="center"/>
    </xf>
    <xf numFmtId="165" fontId="3" fillId="13" borderId="20" xfId="0" applyNumberFormat="1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8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vertical="center"/>
    </xf>
    <xf numFmtId="0" fontId="3" fillId="15" borderId="20" xfId="0" applyFont="1" applyFill="1" applyBorder="1" applyAlignment="1">
      <alignment vertical="center" wrapText="1"/>
    </xf>
    <xf numFmtId="167" fontId="3" fillId="20" borderId="21" xfId="0" applyNumberFormat="1" applyFont="1" applyFill="1" applyBorder="1" applyAlignment="1">
      <alignment horizontal="center" vertical="center"/>
    </xf>
    <xf numFmtId="164" fontId="3" fillId="20" borderId="22" xfId="0" applyNumberFormat="1" applyFont="1" applyFill="1" applyBorder="1" applyAlignment="1">
      <alignment horizontal="center" vertical="center"/>
    </xf>
    <xf numFmtId="1" fontId="3" fillId="20" borderId="22" xfId="0" applyNumberFormat="1" applyFont="1" applyFill="1" applyBorder="1" applyAlignment="1">
      <alignment horizontal="center" vertical="center"/>
    </xf>
    <xf numFmtId="0" fontId="3" fillId="20" borderId="22" xfId="0" applyFont="1" applyFill="1" applyBorder="1" applyAlignment="1">
      <alignment horizontal="center" vertical="center"/>
    </xf>
    <xf numFmtId="0" fontId="3" fillId="20" borderId="22" xfId="0" applyNumberFormat="1" applyFont="1" applyFill="1" applyBorder="1" applyAlignment="1">
      <alignment horizontal="center" vertical="center"/>
    </xf>
    <xf numFmtId="0" fontId="3" fillId="12" borderId="22" xfId="0" applyNumberFormat="1" applyFont="1" applyFill="1" applyBorder="1" applyAlignment="1">
      <alignment horizontal="center" vertical="center"/>
    </xf>
    <xf numFmtId="0" fontId="3" fillId="20" borderId="20" xfId="0" applyNumberFormat="1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vertical="center" wrapText="1"/>
    </xf>
    <xf numFmtId="165" fontId="3" fillId="20" borderId="21" xfId="0" applyNumberFormat="1" applyFont="1" applyFill="1" applyBorder="1" applyAlignment="1">
      <alignment horizontal="center" vertical="center"/>
    </xf>
    <xf numFmtId="0" fontId="0" fillId="12" borderId="22" xfId="0" applyFont="1" applyFill="1" applyBorder="1"/>
    <xf numFmtId="164" fontId="3" fillId="20" borderId="20" xfId="0" applyNumberFormat="1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165" fontId="3" fillId="20" borderId="20" xfId="0" applyNumberFormat="1" applyFont="1" applyFill="1" applyBorder="1" applyAlignment="1">
      <alignment horizontal="center" vertical="center"/>
    </xf>
    <xf numFmtId="0" fontId="3" fillId="12" borderId="21" xfId="0" applyFont="1" applyFill="1" applyBorder="1" applyAlignment="1">
      <alignment horizontal="center" vertical="center"/>
    </xf>
    <xf numFmtId="2" fontId="3" fillId="20" borderId="20" xfId="0" applyNumberFormat="1" applyFont="1" applyFill="1" applyBorder="1" applyAlignment="1">
      <alignment horizontal="center" vertical="center"/>
    </xf>
    <xf numFmtId="0" fontId="3" fillId="12" borderId="22" xfId="0" applyFont="1" applyFill="1" applyBorder="1" applyAlignment="1">
      <alignment horizontal="center" vertical="center"/>
    </xf>
    <xf numFmtId="0" fontId="3" fillId="20" borderId="12" xfId="0" applyFont="1" applyFill="1" applyBorder="1" applyAlignment="1">
      <alignment horizontal="center" vertical="center"/>
    </xf>
    <xf numFmtId="167" fontId="3" fillId="21" borderId="21" xfId="0" applyNumberFormat="1" applyFont="1" applyFill="1" applyBorder="1" applyAlignment="1">
      <alignment horizontal="center" vertical="center"/>
    </xf>
    <xf numFmtId="164" fontId="3" fillId="21" borderId="22" xfId="0" applyNumberFormat="1" applyFont="1" applyFill="1" applyBorder="1" applyAlignment="1">
      <alignment horizontal="center" vertical="center"/>
    </xf>
    <xf numFmtId="1" fontId="3" fillId="21" borderId="22" xfId="0" applyNumberFormat="1" applyFont="1" applyFill="1" applyBorder="1" applyAlignment="1">
      <alignment horizontal="center" vertical="center"/>
    </xf>
    <xf numFmtId="0" fontId="3" fillId="21" borderId="22" xfId="0" applyFont="1" applyFill="1" applyBorder="1" applyAlignment="1">
      <alignment horizontal="center" vertical="center"/>
    </xf>
    <xf numFmtId="0" fontId="3" fillId="21" borderId="22" xfId="0" applyNumberFormat="1" applyFont="1" applyFill="1" applyBorder="1" applyAlignment="1">
      <alignment horizontal="center" vertical="center"/>
    </xf>
    <xf numFmtId="0" fontId="3" fillId="21" borderId="20" xfId="0" applyNumberFormat="1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vertical="center" wrapText="1"/>
    </xf>
    <xf numFmtId="165" fontId="3" fillId="21" borderId="21" xfId="0" applyNumberFormat="1" applyFont="1" applyFill="1" applyBorder="1" applyAlignment="1">
      <alignment horizontal="center" vertical="center"/>
    </xf>
    <xf numFmtId="164" fontId="3" fillId="21" borderId="20" xfId="0" applyNumberFormat="1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165" fontId="3" fillId="21" borderId="20" xfId="0" applyNumberFormat="1" applyFont="1" applyFill="1" applyBorder="1" applyAlignment="1">
      <alignment horizontal="center" vertical="center"/>
    </xf>
    <xf numFmtId="2" fontId="3" fillId="21" borderId="20" xfId="0" applyNumberFormat="1" applyFont="1" applyFill="1" applyBorder="1" applyAlignment="1">
      <alignment horizontal="center" vertical="center"/>
    </xf>
    <xf numFmtId="0" fontId="3" fillId="21" borderId="12" xfId="0" applyFont="1" applyFill="1" applyBorder="1" applyAlignment="1">
      <alignment horizontal="center" vertical="center"/>
    </xf>
    <xf numFmtId="0" fontId="3" fillId="3" borderId="20" xfId="0" applyNumberFormat="1" applyFont="1" applyFill="1" applyBorder="1" applyAlignment="1">
      <alignment vertical="center"/>
    </xf>
    <xf numFmtId="0" fontId="3" fillId="15" borderId="20" xfId="0" applyNumberFormat="1" applyFont="1" applyFill="1" applyBorder="1" applyAlignment="1">
      <alignment vertical="center" wrapText="1"/>
    </xf>
    <xf numFmtId="164" fontId="3" fillId="21" borderId="21" xfId="0" applyNumberFormat="1" applyFont="1" applyFill="1" applyBorder="1" applyAlignment="1">
      <alignment horizontal="center" vertical="center"/>
    </xf>
    <xf numFmtId="0" fontId="3" fillId="21" borderId="20" xfId="0" applyNumberFormat="1" applyFont="1" applyFill="1" applyBorder="1" applyAlignment="1">
      <alignment vertical="center" wrapText="1"/>
    </xf>
    <xf numFmtId="0" fontId="3" fillId="21" borderId="12" xfId="0" applyNumberFormat="1" applyFont="1" applyFill="1" applyBorder="1" applyAlignment="1">
      <alignment horizontal="center" vertical="center"/>
    </xf>
    <xf numFmtId="164" fontId="3" fillId="20" borderId="21" xfId="0" applyNumberFormat="1" applyFont="1" applyFill="1" applyBorder="1" applyAlignment="1">
      <alignment horizontal="center" vertical="center"/>
    </xf>
    <xf numFmtId="0" fontId="3" fillId="20" borderId="20" xfId="0" applyNumberFormat="1" applyFont="1" applyFill="1" applyBorder="1" applyAlignment="1">
      <alignment vertical="center" wrapText="1"/>
    </xf>
    <xf numFmtId="0" fontId="3" fillId="20" borderId="12" xfId="0" applyNumberFormat="1" applyFont="1" applyFill="1" applyBorder="1" applyAlignment="1">
      <alignment horizontal="center" vertical="center"/>
    </xf>
    <xf numFmtId="165" fontId="3" fillId="13" borderId="9" xfId="0" applyNumberFormat="1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3" fillId="18" borderId="23" xfId="0" applyFont="1" applyFill="1" applyBorder="1" applyAlignment="1">
      <alignment horizontal="center" vertical="center"/>
    </xf>
    <xf numFmtId="0" fontId="3" fillId="3" borderId="23" xfId="0" applyNumberFormat="1" applyFont="1" applyFill="1" applyBorder="1" applyAlignment="1">
      <alignment vertical="center"/>
    </xf>
    <xf numFmtId="0" fontId="3" fillId="3" borderId="23" xfId="0" applyFont="1" applyFill="1" applyBorder="1" applyAlignment="1">
      <alignment vertical="center"/>
    </xf>
    <xf numFmtId="0" fontId="3" fillId="15" borderId="23" xfId="0" applyNumberFormat="1" applyFont="1" applyFill="1" applyBorder="1" applyAlignment="1">
      <alignment vertical="center" wrapText="1"/>
    </xf>
    <xf numFmtId="0" fontId="3" fillId="15" borderId="23" xfId="0" applyFont="1" applyFill="1" applyBorder="1" applyAlignment="1">
      <alignment vertical="center" wrapText="1"/>
    </xf>
    <xf numFmtId="164" fontId="3" fillId="21" borderId="24" xfId="0" applyNumberFormat="1" applyFont="1" applyFill="1" applyBorder="1" applyAlignment="1">
      <alignment horizontal="center" vertical="center"/>
    </xf>
    <xf numFmtId="164" fontId="3" fillId="21" borderId="25" xfId="0" applyNumberFormat="1" applyFont="1" applyFill="1" applyBorder="1" applyAlignment="1">
      <alignment horizontal="center" vertical="center"/>
    </xf>
    <xf numFmtId="1" fontId="3" fillId="21" borderId="25" xfId="0" applyNumberFormat="1" applyFont="1" applyFill="1" applyBorder="1" applyAlignment="1">
      <alignment horizontal="center" vertical="center"/>
    </xf>
    <xf numFmtId="0" fontId="3" fillId="21" borderId="25" xfId="0" applyNumberFormat="1" applyFont="1" applyFill="1" applyBorder="1" applyAlignment="1">
      <alignment horizontal="center" vertical="center"/>
    </xf>
    <xf numFmtId="0" fontId="3" fillId="12" borderId="25" xfId="0" applyNumberFormat="1" applyFont="1" applyFill="1" applyBorder="1" applyAlignment="1">
      <alignment horizontal="center" vertical="center"/>
    </xf>
    <xf numFmtId="0" fontId="3" fillId="21" borderId="23" xfId="0" applyNumberFormat="1" applyFont="1" applyFill="1" applyBorder="1" applyAlignment="1">
      <alignment horizontal="center" vertical="center"/>
    </xf>
    <xf numFmtId="0" fontId="3" fillId="21" borderId="23" xfId="0" applyFont="1" applyFill="1" applyBorder="1" applyAlignment="1">
      <alignment vertical="center" wrapText="1"/>
    </xf>
    <xf numFmtId="0" fontId="3" fillId="21" borderId="23" xfId="0" applyNumberFormat="1" applyFont="1" applyFill="1" applyBorder="1" applyAlignment="1">
      <alignment vertical="center" wrapText="1"/>
    </xf>
    <xf numFmtId="165" fontId="3" fillId="21" borderId="24" xfId="0" applyNumberFormat="1" applyFont="1" applyFill="1" applyBorder="1" applyAlignment="1">
      <alignment horizontal="center" vertical="center"/>
    </xf>
    <xf numFmtId="0" fontId="3" fillId="21" borderId="25" xfId="0" applyFont="1" applyFill="1" applyBorder="1" applyAlignment="1">
      <alignment horizontal="center" vertical="center"/>
    </xf>
    <xf numFmtId="0" fontId="0" fillId="12" borderId="25" xfId="0" applyFont="1" applyFill="1" applyBorder="1"/>
    <xf numFmtId="164" fontId="3" fillId="21" borderId="23" xfId="0" applyNumberFormat="1" applyFont="1" applyFill="1" applyBorder="1" applyAlignment="1">
      <alignment horizontal="center" vertical="center"/>
    </xf>
    <xf numFmtId="0" fontId="3" fillId="21" borderId="23" xfId="0" applyFont="1" applyFill="1" applyBorder="1" applyAlignment="1">
      <alignment horizontal="center" vertical="center"/>
    </xf>
    <xf numFmtId="165" fontId="3" fillId="21" borderId="23" xfId="0" applyNumberFormat="1" applyFont="1" applyFill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164" fontId="3" fillId="21" borderId="9" xfId="0" applyNumberFormat="1" applyFont="1" applyFill="1" applyBorder="1" applyAlignment="1">
      <alignment horizontal="center" vertical="center"/>
    </xf>
    <xf numFmtId="165" fontId="3" fillId="21" borderId="9" xfId="0" applyNumberFormat="1" applyFont="1" applyFill="1" applyBorder="1" applyAlignment="1">
      <alignment horizontal="center" vertical="center"/>
    </xf>
    <xf numFmtId="2" fontId="3" fillId="21" borderId="9" xfId="0" applyNumberFormat="1" applyFont="1" applyFill="1" applyBorder="1" applyAlignment="1">
      <alignment horizontal="center" vertical="center"/>
    </xf>
    <xf numFmtId="2" fontId="3" fillId="21" borderId="23" xfId="0" applyNumberFormat="1" applyFont="1" applyFill="1" applyBorder="1" applyAlignment="1">
      <alignment horizontal="center" vertical="center"/>
    </xf>
    <xf numFmtId="0" fontId="3" fillId="21" borderId="19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 applyProtection="1">
      <alignment horizontal="left"/>
      <protection locked="0"/>
    </xf>
    <xf numFmtId="0" fontId="4" fillId="13" borderId="11" xfId="0" applyFont="1" applyFill="1" applyBorder="1" applyAlignment="1" applyProtection="1">
      <alignment horizontal="left"/>
      <protection locked="0"/>
    </xf>
    <xf numFmtId="0" fontId="0" fillId="14" borderId="14" xfId="0" applyFill="1" applyBorder="1" applyAlignment="1" applyProtection="1">
      <alignment horizontal="left" vertical="top" wrapText="1"/>
      <protection locked="0"/>
    </xf>
    <xf numFmtId="0" fontId="0" fillId="14" borderId="15" xfId="0" applyFill="1" applyBorder="1" applyAlignment="1" applyProtection="1">
      <alignment horizontal="left" vertical="top" wrapText="1"/>
      <protection locked="0"/>
    </xf>
    <xf numFmtId="0" fontId="0" fillId="14" borderId="2" xfId="0" applyFill="1" applyBorder="1" applyAlignment="1" applyProtection="1">
      <alignment horizontal="left" vertical="top" wrapText="1"/>
      <protection locked="0"/>
    </xf>
    <xf numFmtId="0" fontId="0" fillId="14" borderId="16" xfId="0" applyFill="1" applyBorder="1" applyAlignment="1" applyProtection="1">
      <alignment horizontal="left" vertical="top" wrapText="1"/>
      <protection locked="0"/>
    </xf>
    <xf numFmtId="0" fontId="0" fillId="14" borderId="17" xfId="0" applyFill="1" applyBorder="1" applyAlignment="1" applyProtection="1">
      <alignment horizontal="left" vertical="top" wrapText="1"/>
      <protection locked="0"/>
    </xf>
    <xf numFmtId="0" fontId="0" fillId="14" borderId="7" xfId="0" applyFill="1" applyBorder="1" applyAlignment="1" applyProtection="1">
      <alignment horizontal="left" vertical="top" wrapText="1"/>
      <protection locked="0"/>
    </xf>
    <xf numFmtId="0" fontId="4" fillId="13" borderId="8" xfId="0" applyFont="1" applyFill="1" applyBorder="1" applyAlignment="1" applyProtection="1">
      <alignment horizontal="left"/>
      <protection locked="0"/>
    </xf>
    <xf numFmtId="0" fontId="0" fillId="14" borderId="0" xfId="0" applyFill="1" applyAlignment="1" applyProtection="1">
      <alignment horizontal="left" vertical="top" wrapText="1"/>
      <protection locked="0"/>
    </xf>
    <xf numFmtId="0" fontId="4" fillId="13" borderId="8" xfId="0" applyFont="1" applyFill="1" applyBorder="1" applyAlignment="1" applyProtection="1">
      <alignment horizontal="center"/>
      <protection locked="0"/>
    </xf>
    <xf numFmtId="0" fontId="7" fillId="14" borderId="8" xfId="0" applyFont="1" applyFill="1" applyBorder="1" applyAlignment="1" applyProtection="1">
      <alignment horizontal="left"/>
    </xf>
    <xf numFmtId="2" fontId="6" fillId="14" borderId="8" xfId="0" applyNumberFormat="1" applyFont="1" applyFill="1" applyBorder="1" applyAlignment="1" applyProtection="1">
      <alignment horizontal="center" vertical="center"/>
    </xf>
    <xf numFmtId="0" fontId="4" fillId="13" borderId="8" xfId="0" applyFont="1" applyFill="1" applyBorder="1" applyAlignment="1" applyProtection="1">
      <alignment horizontal="center" vertical="center"/>
      <protection locked="0"/>
    </xf>
    <xf numFmtId="0" fontId="5" fillId="14" borderId="8" xfId="0" applyFont="1" applyFill="1" applyBorder="1" applyAlignment="1" applyProtection="1">
      <alignment horizontal="left"/>
    </xf>
    <xf numFmtId="166" fontId="6" fillId="14" borderId="8" xfId="0" applyNumberFormat="1" applyFont="1" applyFill="1" applyBorder="1" applyAlignment="1" applyProtection="1">
      <alignment horizontal="center" vertical="center"/>
    </xf>
    <xf numFmtId="0" fontId="4" fillId="16" borderId="8" xfId="0" applyFont="1" applyFill="1" applyBorder="1" applyAlignment="1" applyProtection="1">
      <alignment horizontal="center" vertical="center"/>
      <protection locked="0"/>
    </xf>
    <xf numFmtId="165" fontId="6" fillId="14" borderId="8" xfId="0" applyNumberFormat="1" applyFont="1" applyFill="1" applyBorder="1" applyAlignment="1" applyProtection="1">
      <alignment horizontal="center" vertical="center"/>
    </xf>
    <xf numFmtId="0" fontId="7" fillId="13" borderId="8" xfId="0" applyFont="1" applyFill="1" applyBorder="1" applyAlignment="1" applyProtection="1">
      <alignment horizontal="left"/>
      <protection locked="0"/>
    </xf>
    <xf numFmtId="0" fontId="6" fillId="13" borderId="8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49" fontId="14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7"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Стиль таблицы 1" pivot="0" count="0"/>
  </tableStyles>
  <colors>
    <mruColors>
      <color rgb="FFFFC000"/>
      <color rgb="FFFF0000"/>
      <color rgb="FFE6F0FF"/>
      <color rgb="FFFFEB9C"/>
      <color rgb="FFCCECFF"/>
      <color rgb="FFFF99FF"/>
      <color rgb="FFFEC434"/>
      <color rgb="FFFFCC66"/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F144"/>
  <sheetViews>
    <sheetView workbookViewId="0">
      <selection activeCell="A81" sqref="A81"/>
    </sheetView>
  </sheetViews>
  <sheetFormatPr defaultRowHeight="15" x14ac:dyDescent="0.25"/>
  <cols>
    <col min="2" max="2" width="48.7109375" customWidth="1"/>
    <col min="3" max="3" width="15.28515625" customWidth="1"/>
    <col min="4" max="4" width="16.42578125" customWidth="1"/>
    <col min="5" max="5" width="19.85546875" customWidth="1"/>
    <col min="6" max="6" width="17.5703125" customWidth="1"/>
  </cols>
  <sheetData>
    <row r="1" spans="1:6" ht="16.5" thickBot="1" x14ac:dyDescent="0.3">
      <c r="B1" s="1" t="s">
        <v>0</v>
      </c>
      <c r="C1" s="2"/>
      <c r="D1" s="178" t="s">
        <v>1</v>
      </c>
      <c r="E1" s="179"/>
      <c r="F1" s="180"/>
    </row>
    <row r="2" spans="1:6" ht="63.75" thickBot="1" x14ac:dyDescent="0.3">
      <c r="B2" s="3"/>
      <c r="C2" s="4" t="s">
        <v>2</v>
      </c>
      <c r="D2" s="4" t="s">
        <v>3</v>
      </c>
      <c r="E2" s="5" t="s">
        <v>4</v>
      </c>
      <c r="F2" s="5" t="s">
        <v>5</v>
      </c>
    </row>
    <row r="3" spans="1:6" ht="16.5" thickBot="1" x14ac:dyDescent="0.3">
      <c r="B3" s="6">
        <v>1</v>
      </c>
      <c r="C3" s="4">
        <v>2</v>
      </c>
      <c r="D3" s="4">
        <v>3</v>
      </c>
      <c r="E3" s="4">
        <v>4</v>
      </c>
      <c r="F3" s="4">
        <v>5</v>
      </c>
    </row>
    <row r="4" spans="1:6" ht="16.5" thickBot="1" x14ac:dyDescent="0.3">
      <c r="A4" s="41" t="s">
        <v>7</v>
      </c>
      <c r="B4" s="7" t="s">
        <v>6</v>
      </c>
      <c r="C4" s="8">
        <v>5</v>
      </c>
      <c r="D4" s="8">
        <v>1</v>
      </c>
      <c r="E4" s="8">
        <v>1</v>
      </c>
      <c r="F4" s="8">
        <v>1</v>
      </c>
    </row>
    <row r="5" spans="1:6" ht="32.25" thickBot="1" x14ac:dyDescent="0.3">
      <c r="A5" s="41" t="s">
        <v>9</v>
      </c>
      <c r="B5" s="7" t="s">
        <v>8</v>
      </c>
      <c r="C5" s="8">
        <v>4.9000000000000004</v>
      </c>
      <c r="D5" s="8">
        <v>0.95</v>
      </c>
      <c r="E5" s="8">
        <v>1</v>
      </c>
      <c r="F5" s="8">
        <v>0.9</v>
      </c>
    </row>
    <row r="6" spans="1:6" ht="32.25" thickBot="1" x14ac:dyDescent="0.3">
      <c r="A6" s="41" t="s">
        <v>11</v>
      </c>
      <c r="B6" s="7" t="s">
        <v>10</v>
      </c>
      <c r="C6" s="8">
        <v>4.5999999999999996</v>
      </c>
      <c r="D6" s="8">
        <v>0.9</v>
      </c>
      <c r="E6" s="8">
        <v>0.95</v>
      </c>
      <c r="F6" s="8">
        <v>0.8</v>
      </c>
    </row>
    <row r="7" spans="1:6" ht="32.25" thickBot="1" x14ac:dyDescent="0.3">
      <c r="A7" s="41" t="s">
        <v>13</v>
      </c>
      <c r="B7" s="9" t="s">
        <v>12</v>
      </c>
      <c r="C7" s="10">
        <v>4.3</v>
      </c>
      <c r="D7" s="10">
        <v>0.85</v>
      </c>
      <c r="E7" s="10">
        <v>0.9</v>
      </c>
      <c r="F7" s="10">
        <v>0.7</v>
      </c>
    </row>
    <row r="8" spans="1:6" ht="32.25" thickBot="1" x14ac:dyDescent="0.3">
      <c r="A8" s="41" t="s">
        <v>15</v>
      </c>
      <c r="B8" s="9" t="s">
        <v>14</v>
      </c>
      <c r="C8" s="10">
        <v>3.9</v>
      </c>
      <c r="D8" s="10">
        <v>0.8</v>
      </c>
      <c r="E8" s="10">
        <v>0.85</v>
      </c>
      <c r="F8" s="10">
        <v>0.55000000000000004</v>
      </c>
    </row>
    <row r="9" spans="1:6" ht="32.25" thickBot="1" x14ac:dyDescent="0.3">
      <c r="A9" s="41" t="s">
        <v>17</v>
      </c>
      <c r="B9" s="9" t="s">
        <v>16</v>
      </c>
      <c r="C9" s="10">
        <v>3.6</v>
      </c>
      <c r="D9" s="10">
        <v>0.78</v>
      </c>
      <c r="E9" s="10">
        <v>0.83</v>
      </c>
      <c r="F9" s="10">
        <v>0.42</v>
      </c>
    </row>
    <row r="10" spans="1:6" ht="32.25" thickBot="1" x14ac:dyDescent="0.3">
      <c r="A10" s="41" t="s">
        <v>20</v>
      </c>
      <c r="B10" s="11" t="s">
        <v>18</v>
      </c>
      <c r="C10" s="12">
        <v>3.2</v>
      </c>
      <c r="D10" s="12">
        <v>0.75</v>
      </c>
      <c r="E10" s="12">
        <v>0.8</v>
      </c>
      <c r="F10" s="12" t="s">
        <v>19</v>
      </c>
    </row>
    <row r="11" spans="1:6" ht="32.25" thickBot="1" x14ac:dyDescent="0.3">
      <c r="A11" s="41" t="s">
        <v>22</v>
      </c>
      <c r="B11" s="11" t="s">
        <v>21</v>
      </c>
      <c r="C11" s="12">
        <v>2.9</v>
      </c>
      <c r="D11" s="12">
        <v>0.7</v>
      </c>
      <c r="E11" s="12">
        <v>0.75</v>
      </c>
      <c r="F11" s="12" t="s">
        <v>19</v>
      </c>
    </row>
    <row r="12" spans="1:6" ht="32.25" thickBot="1" x14ac:dyDescent="0.3">
      <c r="A12" s="41" t="s">
        <v>24</v>
      </c>
      <c r="B12" s="11" t="s">
        <v>23</v>
      </c>
      <c r="C12" s="12">
        <v>2.6</v>
      </c>
      <c r="D12" s="12">
        <v>0.65</v>
      </c>
      <c r="E12" s="12">
        <v>0.7</v>
      </c>
      <c r="F12" s="12" t="s">
        <v>19</v>
      </c>
    </row>
    <row r="13" spans="1:6" ht="16.5" thickBot="1" x14ac:dyDescent="0.3">
      <c r="A13" s="41" t="s">
        <v>26</v>
      </c>
      <c r="B13" s="13" t="s">
        <v>25</v>
      </c>
      <c r="C13" s="14">
        <v>4.5</v>
      </c>
      <c r="D13" s="14">
        <v>0.9</v>
      </c>
      <c r="E13" s="14">
        <v>0.95</v>
      </c>
      <c r="F13" s="14" t="s">
        <v>19</v>
      </c>
    </row>
    <row r="14" spans="1:6" ht="16.5" thickBot="1" x14ac:dyDescent="0.3">
      <c r="A14" s="41" t="s">
        <v>28</v>
      </c>
      <c r="B14" s="13" t="s">
        <v>27</v>
      </c>
      <c r="C14" s="14">
        <v>3.5</v>
      </c>
      <c r="D14" s="14">
        <v>0.9</v>
      </c>
      <c r="E14" s="14">
        <v>0.85</v>
      </c>
      <c r="F14" s="14" t="s">
        <v>19</v>
      </c>
    </row>
    <row r="15" spans="1:6" s="38" customFormat="1" ht="48" thickBot="1" x14ac:dyDescent="0.3">
      <c r="A15" s="41" t="s">
        <v>184</v>
      </c>
      <c r="B15" s="7" t="s">
        <v>167</v>
      </c>
      <c r="C15" s="8">
        <v>4.9000000000000004</v>
      </c>
      <c r="D15" s="8">
        <v>0.95</v>
      </c>
      <c r="E15" s="8">
        <v>1</v>
      </c>
      <c r="F15" s="8">
        <v>0.9</v>
      </c>
    </row>
    <row r="16" spans="1:6" s="38" customFormat="1" ht="32.25" thickBot="1" x14ac:dyDescent="0.3">
      <c r="A16" s="41" t="s">
        <v>177</v>
      </c>
      <c r="B16" s="7" t="s">
        <v>168</v>
      </c>
      <c r="C16" s="8">
        <v>4.5999999999999996</v>
      </c>
      <c r="D16" s="8">
        <v>0.9</v>
      </c>
      <c r="E16" s="8">
        <v>0.95</v>
      </c>
      <c r="F16" s="8">
        <v>0.8</v>
      </c>
    </row>
    <row r="17" spans="1:6" s="38" customFormat="1" ht="32.25" thickBot="1" x14ac:dyDescent="0.3">
      <c r="A17" s="41" t="s">
        <v>178</v>
      </c>
      <c r="B17" s="9" t="s">
        <v>169</v>
      </c>
      <c r="C17" s="10">
        <v>4.3</v>
      </c>
      <c r="D17" s="10">
        <v>0.85</v>
      </c>
      <c r="E17" s="10">
        <v>0.9</v>
      </c>
      <c r="F17" s="10">
        <v>0.7</v>
      </c>
    </row>
    <row r="18" spans="1:6" s="38" customFormat="1" ht="32.25" thickBot="1" x14ac:dyDescent="0.3">
      <c r="A18" s="41" t="s">
        <v>179</v>
      </c>
      <c r="B18" s="9" t="s">
        <v>170</v>
      </c>
      <c r="C18" s="10">
        <v>3.9</v>
      </c>
      <c r="D18" s="10">
        <v>0.8</v>
      </c>
      <c r="E18" s="10">
        <v>0.85</v>
      </c>
      <c r="F18" s="10">
        <v>0.55000000000000004</v>
      </c>
    </row>
    <row r="19" spans="1:6" s="38" customFormat="1" ht="32.25" thickBot="1" x14ac:dyDescent="0.3">
      <c r="A19" s="41" t="s">
        <v>180</v>
      </c>
      <c r="B19" s="9" t="s">
        <v>171</v>
      </c>
      <c r="C19" s="10">
        <v>3.6</v>
      </c>
      <c r="D19" s="10">
        <v>0.78</v>
      </c>
      <c r="E19" s="10">
        <v>0.83</v>
      </c>
      <c r="F19" s="10">
        <v>0.42</v>
      </c>
    </row>
    <row r="20" spans="1:6" s="38" customFormat="1" ht="32.25" thickBot="1" x14ac:dyDescent="0.3">
      <c r="A20" s="41" t="s">
        <v>181</v>
      </c>
      <c r="B20" s="11" t="s">
        <v>172</v>
      </c>
      <c r="C20" s="12">
        <v>3.2</v>
      </c>
      <c r="D20" s="12">
        <v>0.75</v>
      </c>
      <c r="E20" s="12">
        <v>0.8</v>
      </c>
      <c r="F20" s="12" t="s">
        <v>19</v>
      </c>
    </row>
    <row r="21" spans="1:6" s="38" customFormat="1" ht="32.25" thickBot="1" x14ac:dyDescent="0.3">
      <c r="A21" s="41" t="s">
        <v>182</v>
      </c>
      <c r="B21" s="11" t="s">
        <v>173</v>
      </c>
      <c r="C21" s="12">
        <v>2.9</v>
      </c>
      <c r="D21" s="12">
        <v>0.7</v>
      </c>
      <c r="E21" s="12">
        <v>0.75</v>
      </c>
      <c r="F21" s="12" t="s">
        <v>19</v>
      </c>
    </row>
    <row r="22" spans="1:6" s="38" customFormat="1" ht="32.25" thickBot="1" x14ac:dyDescent="0.3">
      <c r="A22" s="41" t="s">
        <v>183</v>
      </c>
      <c r="B22" s="11" t="s">
        <v>174</v>
      </c>
      <c r="C22" s="12">
        <v>2.6</v>
      </c>
      <c r="D22" s="12">
        <v>0.65</v>
      </c>
      <c r="E22" s="12">
        <v>0.7</v>
      </c>
      <c r="F22" s="12" t="s">
        <v>19</v>
      </c>
    </row>
    <row r="23" spans="1:6" s="38" customFormat="1" ht="32.25" thickBot="1" x14ac:dyDescent="0.3">
      <c r="A23" s="41" t="s">
        <v>176</v>
      </c>
      <c r="B23" s="13" t="s">
        <v>175</v>
      </c>
      <c r="C23" s="14">
        <v>3.5</v>
      </c>
      <c r="D23" s="14">
        <v>0.9</v>
      </c>
      <c r="E23" s="14">
        <v>0.85</v>
      </c>
      <c r="F23" s="14" t="s">
        <v>19</v>
      </c>
    </row>
    <row r="24" spans="1:6" s="38" customFormat="1" ht="16.5" thickBot="1" x14ac:dyDescent="0.3">
      <c r="A24" s="41" t="s">
        <v>162</v>
      </c>
      <c r="B24" s="13" t="s">
        <v>138</v>
      </c>
      <c r="C24" s="14">
        <v>3</v>
      </c>
      <c r="D24" s="14">
        <v>0.75</v>
      </c>
      <c r="E24" s="14">
        <v>0.8</v>
      </c>
      <c r="F24" s="14">
        <v>0.8</v>
      </c>
    </row>
    <row r="25" spans="1:6" ht="48" thickBot="1" x14ac:dyDescent="0.3">
      <c r="A25" s="41" t="s">
        <v>30</v>
      </c>
      <c r="B25" s="15" t="s">
        <v>29</v>
      </c>
      <c r="C25" s="16">
        <v>3</v>
      </c>
      <c r="D25" s="16">
        <v>0.75</v>
      </c>
      <c r="E25" s="16">
        <v>0.8</v>
      </c>
      <c r="F25" s="16" t="s">
        <v>19</v>
      </c>
    </row>
    <row r="26" spans="1:6" ht="48" thickBot="1" x14ac:dyDescent="0.3">
      <c r="A26" s="41" t="s">
        <v>32</v>
      </c>
      <c r="B26" s="15" t="s">
        <v>31</v>
      </c>
      <c r="C26" s="16">
        <v>2.5</v>
      </c>
      <c r="D26" s="16">
        <v>0.65</v>
      </c>
      <c r="E26" s="16">
        <v>0.7</v>
      </c>
      <c r="F26" s="16"/>
    </row>
    <row r="27" spans="1:6" ht="32.25" thickBot="1" x14ac:dyDescent="0.3">
      <c r="A27" s="41" t="s">
        <v>34</v>
      </c>
      <c r="B27" s="15" t="s">
        <v>33</v>
      </c>
      <c r="C27" s="16">
        <v>2</v>
      </c>
      <c r="D27" s="16">
        <v>0.6</v>
      </c>
      <c r="E27" s="16">
        <v>0.65</v>
      </c>
      <c r="F27" s="16"/>
    </row>
    <row r="28" spans="1:6" ht="48" thickBot="1" x14ac:dyDescent="0.3">
      <c r="A28" s="41" t="s">
        <v>36</v>
      </c>
      <c r="B28" s="15" t="s">
        <v>35</v>
      </c>
      <c r="C28" s="16">
        <v>2.2999999999999998</v>
      </c>
      <c r="D28" s="16">
        <v>0.6</v>
      </c>
      <c r="E28" s="16">
        <v>0.65</v>
      </c>
      <c r="F28" s="16" t="s">
        <v>19</v>
      </c>
    </row>
    <row r="29" spans="1:6" ht="32.25" thickBot="1" x14ac:dyDescent="0.3">
      <c r="A29" s="41" t="s">
        <v>38</v>
      </c>
      <c r="B29" s="15" t="s">
        <v>37</v>
      </c>
      <c r="C29" s="16">
        <v>1.9</v>
      </c>
      <c r="D29" s="16">
        <v>0.55000000000000004</v>
      </c>
      <c r="E29" s="16">
        <v>0.6</v>
      </c>
      <c r="F29" s="16" t="s">
        <v>19</v>
      </c>
    </row>
    <row r="30" spans="1:6" ht="32.25" thickBot="1" x14ac:dyDescent="0.3">
      <c r="A30" s="41" t="s">
        <v>40</v>
      </c>
      <c r="B30" s="15" t="s">
        <v>39</v>
      </c>
      <c r="C30" s="16">
        <v>1.6</v>
      </c>
      <c r="D30" s="16">
        <v>0.5</v>
      </c>
      <c r="E30" s="16">
        <v>0.55000000000000004</v>
      </c>
      <c r="F30" s="16" t="s">
        <v>19</v>
      </c>
    </row>
    <row r="31" spans="1:6" ht="32.25" thickBot="1" x14ac:dyDescent="0.3">
      <c r="A31" s="41" t="s">
        <v>42</v>
      </c>
      <c r="B31" s="17" t="s">
        <v>41</v>
      </c>
      <c r="C31" s="18">
        <v>5</v>
      </c>
      <c r="D31" s="18"/>
      <c r="E31" s="18"/>
      <c r="F31" s="18"/>
    </row>
    <row r="32" spans="1:6" ht="32.25" thickBot="1" x14ac:dyDescent="0.3">
      <c r="A32" s="41" t="s">
        <v>44</v>
      </c>
      <c r="B32" s="17" t="s">
        <v>43</v>
      </c>
      <c r="C32" s="18">
        <v>5</v>
      </c>
      <c r="D32" s="18"/>
      <c r="E32" s="18"/>
      <c r="F32" s="18"/>
    </row>
    <row r="33" spans="1:6" ht="32.25" thickBot="1" x14ac:dyDescent="0.3">
      <c r="A33" s="41" t="s">
        <v>46</v>
      </c>
      <c r="B33" s="17" t="s">
        <v>45</v>
      </c>
      <c r="C33" s="18">
        <v>5</v>
      </c>
      <c r="D33" s="18"/>
      <c r="E33" s="18"/>
      <c r="F33" s="18"/>
    </row>
    <row r="34" spans="1:6" ht="32.25" thickBot="1" x14ac:dyDescent="0.3">
      <c r="A34" s="41" t="s">
        <v>48</v>
      </c>
      <c r="B34" s="17" t="s">
        <v>47</v>
      </c>
      <c r="C34" s="18">
        <v>5</v>
      </c>
      <c r="D34" s="18"/>
      <c r="E34" s="18"/>
      <c r="F34" s="18"/>
    </row>
    <row r="35" spans="1:6" ht="32.25" thickBot="1" x14ac:dyDescent="0.3">
      <c r="A35" s="41" t="s">
        <v>50</v>
      </c>
      <c r="B35" s="17" t="s">
        <v>49</v>
      </c>
      <c r="C35" s="18">
        <v>5</v>
      </c>
      <c r="D35" s="18"/>
      <c r="E35" s="18"/>
      <c r="F35" s="18"/>
    </row>
    <row r="36" spans="1:6" ht="32.25" thickBot="1" x14ac:dyDescent="0.3">
      <c r="A36" s="41" t="s">
        <v>52</v>
      </c>
      <c r="B36" s="17" t="s">
        <v>51</v>
      </c>
      <c r="C36" s="18">
        <v>5</v>
      </c>
      <c r="D36" s="18"/>
      <c r="E36" s="18"/>
      <c r="F36" s="18"/>
    </row>
    <row r="37" spans="1:6" ht="32.25" thickBot="1" x14ac:dyDescent="0.3">
      <c r="A37" s="41" t="s">
        <v>54</v>
      </c>
      <c r="B37" s="17" t="s">
        <v>53</v>
      </c>
      <c r="C37" s="18">
        <v>5</v>
      </c>
      <c r="D37" s="18"/>
      <c r="E37" s="18"/>
      <c r="F37" s="18"/>
    </row>
    <row r="38" spans="1:6" ht="32.25" thickBot="1" x14ac:dyDescent="0.3">
      <c r="A38" s="41" t="s">
        <v>56</v>
      </c>
      <c r="B38" s="19" t="s">
        <v>55</v>
      </c>
      <c r="C38" s="20">
        <v>1.2</v>
      </c>
      <c r="D38" s="20">
        <v>0.45</v>
      </c>
      <c r="E38" s="20">
        <v>0.5</v>
      </c>
      <c r="F38" s="20">
        <v>0.35</v>
      </c>
    </row>
    <row r="39" spans="1:6" ht="32.25" thickBot="1" x14ac:dyDescent="0.3">
      <c r="A39" s="41" t="s">
        <v>58</v>
      </c>
      <c r="B39" s="19" t="s">
        <v>57</v>
      </c>
      <c r="C39" s="20">
        <v>0.9</v>
      </c>
      <c r="D39" s="20">
        <v>0.4</v>
      </c>
      <c r="E39" s="20">
        <v>0.45</v>
      </c>
      <c r="F39" s="20">
        <v>0.3</v>
      </c>
    </row>
    <row r="40" spans="1:6" ht="32.25" thickBot="1" x14ac:dyDescent="0.3">
      <c r="A40" s="41" t="s">
        <v>60</v>
      </c>
      <c r="B40" s="19" t="s">
        <v>59</v>
      </c>
      <c r="C40" s="20">
        <v>0.5</v>
      </c>
      <c r="D40" s="20">
        <v>0.35</v>
      </c>
      <c r="E40" s="20">
        <v>0.4</v>
      </c>
      <c r="F40" s="20">
        <v>0.25</v>
      </c>
    </row>
    <row r="41" spans="1:6" ht="63.75" thickBot="1" x14ac:dyDescent="0.3">
      <c r="A41" s="41" t="s">
        <v>62</v>
      </c>
      <c r="B41" s="9" t="s">
        <v>61</v>
      </c>
      <c r="C41" s="10">
        <v>1.2</v>
      </c>
      <c r="D41" s="10">
        <v>0.45</v>
      </c>
      <c r="E41" s="10">
        <v>0.5</v>
      </c>
      <c r="F41" s="10">
        <v>0.35</v>
      </c>
    </row>
    <row r="42" spans="1:6" ht="63.75" thickBot="1" x14ac:dyDescent="0.3">
      <c r="A42" s="41" t="s">
        <v>64</v>
      </c>
      <c r="B42" s="9" t="s">
        <v>63</v>
      </c>
      <c r="C42" s="10">
        <v>0.9</v>
      </c>
      <c r="D42" s="10">
        <v>0.4</v>
      </c>
      <c r="E42" s="10">
        <v>0.45</v>
      </c>
      <c r="F42" s="10">
        <v>0.3</v>
      </c>
    </row>
    <row r="43" spans="1:6" ht="63.75" thickBot="1" x14ac:dyDescent="0.3">
      <c r="A43" s="41" t="s">
        <v>66</v>
      </c>
      <c r="B43" s="9" t="s">
        <v>65</v>
      </c>
      <c r="C43" s="10">
        <v>0.5</v>
      </c>
      <c r="D43" s="10">
        <v>0.35</v>
      </c>
      <c r="E43" s="10">
        <v>0.4</v>
      </c>
      <c r="F43" s="10">
        <v>0.25</v>
      </c>
    </row>
    <row r="44" spans="1:6" ht="32.25" thickBot="1" x14ac:dyDescent="0.3">
      <c r="A44" s="41" t="s">
        <v>68</v>
      </c>
      <c r="B44" s="21" t="s">
        <v>67</v>
      </c>
      <c r="C44" s="22">
        <v>4.5</v>
      </c>
      <c r="D44" s="22">
        <v>0.85</v>
      </c>
      <c r="E44" s="22">
        <v>0.9</v>
      </c>
      <c r="F44" s="22" t="s">
        <v>19</v>
      </c>
    </row>
    <row r="45" spans="1:6" ht="32.25" thickBot="1" x14ac:dyDescent="0.3">
      <c r="A45" s="41" t="s">
        <v>70</v>
      </c>
      <c r="B45" s="21" t="s">
        <v>69</v>
      </c>
      <c r="C45" s="22">
        <v>3.5</v>
      </c>
      <c r="D45" s="22">
        <v>0.75</v>
      </c>
      <c r="E45" s="22">
        <v>0.8</v>
      </c>
      <c r="F45" s="22" t="s">
        <v>19</v>
      </c>
    </row>
    <row r="46" spans="1:6" ht="16.5" thickBot="1" x14ac:dyDescent="0.3">
      <c r="A46" s="41" t="s">
        <v>72</v>
      </c>
      <c r="B46" s="21" t="s">
        <v>71</v>
      </c>
      <c r="C46" s="22">
        <v>2.7</v>
      </c>
      <c r="D46" s="22">
        <v>0.65</v>
      </c>
      <c r="E46" s="22">
        <v>0.7</v>
      </c>
      <c r="F46" s="22" t="s">
        <v>19</v>
      </c>
    </row>
    <row r="47" spans="1:6" ht="16.5" thickBot="1" x14ac:dyDescent="0.3">
      <c r="A47" s="41" t="s">
        <v>74</v>
      </c>
      <c r="B47" s="21" t="s">
        <v>73</v>
      </c>
      <c r="C47" s="22">
        <v>2.2000000000000002</v>
      </c>
      <c r="D47" s="22">
        <v>0.6</v>
      </c>
      <c r="E47" s="22">
        <v>0.65</v>
      </c>
      <c r="F47" s="22" t="s">
        <v>19</v>
      </c>
    </row>
    <row r="48" spans="1:6" ht="32.25" thickBot="1" x14ac:dyDescent="0.3">
      <c r="A48" s="41" t="s">
        <v>76</v>
      </c>
      <c r="B48" s="24" t="s">
        <v>75</v>
      </c>
      <c r="C48" s="25">
        <v>3</v>
      </c>
      <c r="D48" s="25">
        <v>0.75</v>
      </c>
      <c r="E48" s="25">
        <v>0.8</v>
      </c>
      <c r="F48" s="25" t="s">
        <v>19</v>
      </c>
    </row>
    <row r="49" spans="1:6" s="38" customFormat="1" ht="16.5" thickBot="1" x14ac:dyDescent="0.3">
      <c r="A49" s="69" t="s">
        <v>185</v>
      </c>
      <c r="B49" s="33" t="s">
        <v>186</v>
      </c>
      <c r="C49" s="34">
        <v>3</v>
      </c>
      <c r="D49" s="34">
        <v>0.75</v>
      </c>
      <c r="E49" s="34">
        <v>0.8</v>
      </c>
      <c r="F49" s="34" t="s">
        <v>19</v>
      </c>
    </row>
    <row r="50" spans="1:6" ht="16.5" thickBot="1" x14ac:dyDescent="0.3">
      <c r="A50" s="41" t="s">
        <v>78</v>
      </c>
      <c r="B50" s="24" t="s">
        <v>77</v>
      </c>
      <c r="C50" s="25">
        <v>2</v>
      </c>
      <c r="D50" s="25">
        <v>0.6</v>
      </c>
      <c r="E50" s="25">
        <v>0.65</v>
      </c>
      <c r="F50" s="25">
        <v>0.42</v>
      </c>
    </row>
    <row r="51" spans="1:6" s="28" customFormat="1" ht="16.5" thickBot="1" x14ac:dyDescent="0.3">
      <c r="A51" s="28" t="s">
        <v>101</v>
      </c>
      <c r="B51" s="33" t="s">
        <v>102</v>
      </c>
      <c r="C51" s="34">
        <v>0</v>
      </c>
      <c r="D51" s="34">
        <v>0</v>
      </c>
      <c r="E51" s="34">
        <v>0</v>
      </c>
      <c r="F51" s="34">
        <v>0</v>
      </c>
    </row>
    <row r="52" spans="1:6" ht="16.5" thickBot="1" x14ac:dyDescent="0.3">
      <c r="A52" t="s">
        <v>79</v>
      </c>
      <c r="B52" s="26" t="s">
        <v>99</v>
      </c>
      <c r="C52" s="27">
        <v>0</v>
      </c>
      <c r="D52" s="27">
        <v>0</v>
      </c>
      <c r="E52" s="27">
        <v>0</v>
      </c>
      <c r="F52" s="27">
        <v>0</v>
      </c>
    </row>
    <row r="53" spans="1:6" ht="16.5" thickBot="1" x14ac:dyDescent="0.3">
      <c r="A53" t="s">
        <v>95</v>
      </c>
      <c r="B53" s="26" t="s">
        <v>100</v>
      </c>
      <c r="C53" s="27">
        <v>0</v>
      </c>
      <c r="D53" s="27">
        <v>0</v>
      </c>
      <c r="E53" s="27">
        <v>0</v>
      </c>
      <c r="F53" s="27">
        <v>0</v>
      </c>
    </row>
    <row r="54" spans="1:6" ht="16.5" thickBot="1" x14ac:dyDescent="0.3">
      <c r="A54" t="s">
        <v>96</v>
      </c>
      <c r="B54" s="26" t="s">
        <v>98</v>
      </c>
      <c r="C54" s="27">
        <v>0.5</v>
      </c>
      <c r="D54" s="27">
        <v>0.35</v>
      </c>
      <c r="E54" s="27">
        <v>0.4</v>
      </c>
      <c r="F54" s="27">
        <v>0.25</v>
      </c>
    </row>
    <row r="55" spans="1:6" s="38" customFormat="1" ht="48" thickBot="1" x14ac:dyDescent="0.3">
      <c r="A55" s="41" t="s">
        <v>113</v>
      </c>
      <c r="B55" s="39" t="s">
        <v>139</v>
      </c>
      <c r="C55" s="40">
        <v>4.9000000000000004</v>
      </c>
      <c r="D55" s="40"/>
      <c r="E55" s="40"/>
      <c r="F55" s="40"/>
    </row>
    <row r="56" spans="1:6" s="38" customFormat="1" ht="48" thickBot="1" x14ac:dyDescent="0.3">
      <c r="A56" s="41" t="s">
        <v>114</v>
      </c>
      <c r="B56" s="39" t="s">
        <v>140</v>
      </c>
      <c r="C56" s="40">
        <v>4.5999999999999996</v>
      </c>
      <c r="D56" s="40"/>
      <c r="E56" s="40"/>
      <c r="F56" s="40"/>
    </row>
    <row r="57" spans="1:6" s="38" customFormat="1" ht="48" thickBot="1" x14ac:dyDescent="0.3">
      <c r="A57" s="41" t="s">
        <v>115</v>
      </c>
      <c r="B57" s="39" t="s">
        <v>141</v>
      </c>
      <c r="C57" s="40">
        <v>4.3</v>
      </c>
      <c r="D57" s="40"/>
      <c r="E57" s="40"/>
      <c r="F57" s="40"/>
    </row>
    <row r="58" spans="1:6" s="38" customFormat="1" ht="48" thickBot="1" x14ac:dyDescent="0.3">
      <c r="A58" s="41" t="s">
        <v>116</v>
      </c>
      <c r="B58" s="39" t="s">
        <v>142</v>
      </c>
      <c r="C58" s="40">
        <v>3.5</v>
      </c>
      <c r="D58" s="40"/>
      <c r="E58" s="40"/>
      <c r="F58" s="40"/>
    </row>
    <row r="59" spans="1:6" s="38" customFormat="1" ht="48" thickBot="1" x14ac:dyDescent="0.3">
      <c r="A59" s="41" t="s">
        <v>117</v>
      </c>
      <c r="B59" s="39" t="s">
        <v>143</v>
      </c>
      <c r="C59" s="40">
        <v>2.5</v>
      </c>
      <c r="D59" s="40"/>
      <c r="E59" s="40"/>
      <c r="F59" s="40"/>
    </row>
    <row r="60" spans="1:6" s="38" customFormat="1" ht="48" thickBot="1" x14ac:dyDescent="0.3">
      <c r="A60" s="41" t="s">
        <v>103</v>
      </c>
      <c r="B60" s="42" t="s">
        <v>144</v>
      </c>
      <c r="C60" s="43">
        <v>4.9000000000000004</v>
      </c>
      <c r="D60" s="43"/>
      <c r="E60" s="43"/>
      <c r="F60" s="43"/>
    </row>
    <row r="61" spans="1:6" s="38" customFormat="1" ht="48" thickBot="1" x14ac:dyDescent="0.3">
      <c r="A61" s="41" t="s">
        <v>104</v>
      </c>
      <c r="B61" s="42" t="s">
        <v>145</v>
      </c>
      <c r="C61" s="43">
        <v>4.5999999999999996</v>
      </c>
      <c r="D61" s="43"/>
      <c r="E61" s="43"/>
      <c r="F61" s="43"/>
    </row>
    <row r="62" spans="1:6" s="38" customFormat="1" ht="48" thickBot="1" x14ac:dyDescent="0.3">
      <c r="A62" s="41" t="s">
        <v>105</v>
      </c>
      <c r="B62" s="42" t="s">
        <v>146</v>
      </c>
      <c r="C62" s="43">
        <v>4.3</v>
      </c>
      <c r="D62" s="43"/>
      <c r="E62" s="43"/>
      <c r="F62" s="43"/>
    </row>
    <row r="63" spans="1:6" s="38" customFormat="1" ht="48" thickBot="1" x14ac:dyDescent="0.3">
      <c r="A63" s="41" t="s">
        <v>106</v>
      </c>
      <c r="B63" s="42" t="s">
        <v>147</v>
      </c>
      <c r="C63" s="43">
        <v>3.5</v>
      </c>
      <c r="D63" s="43"/>
      <c r="E63" s="43"/>
      <c r="F63" s="43"/>
    </row>
    <row r="64" spans="1:6" s="38" customFormat="1" ht="48" thickBot="1" x14ac:dyDescent="0.3">
      <c r="A64" s="41" t="s">
        <v>107</v>
      </c>
      <c r="B64" s="42" t="s">
        <v>148</v>
      </c>
      <c r="C64" s="43">
        <v>2.5</v>
      </c>
      <c r="D64" s="43"/>
      <c r="E64" s="43"/>
      <c r="F64" s="43"/>
    </row>
    <row r="65" spans="1:6" s="38" customFormat="1" ht="16.5" thickBot="1" x14ac:dyDescent="0.3">
      <c r="A65" s="41" t="s">
        <v>165</v>
      </c>
      <c r="B65" s="42" t="s">
        <v>166</v>
      </c>
      <c r="C65" s="43">
        <v>2.5</v>
      </c>
      <c r="D65" s="43"/>
      <c r="E65" s="43"/>
      <c r="F65" s="43"/>
    </row>
    <row r="66" spans="1:6" s="38" customFormat="1" ht="48" thickBot="1" x14ac:dyDescent="0.3">
      <c r="A66" s="41" t="s">
        <v>110</v>
      </c>
      <c r="B66" s="44" t="s">
        <v>149</v>
      </c>
      <c r="C66" s="45">
        <v>0</v>
      </c>
      <c r="D66" s="45"/>
      <c r="E66" s="45"/>
      <c r="F66" s="45"/>
    </row>
    <row r="67" spans="1:6" s="38" customFormat="1" ht="48" thickBot="1" x14ac:dyDescent="0.3">
      <c r="A67" s="41" t="s">
        <v>111</v>
      </c>
      <c r="B67" s="44" t="s">
        <v>150</v>
      </c>
      <c r="C67" s="45">
        <v>0</v>
      </c>
      <c r="D67" s="45"/>
      <c r="E67" s="45"/>
      <c r="F67" s="45"/>
    </row>
    <row r="68" spans="1:6" s="38" customFormat="1" ht="48" thickBot="1" x14ac:dyDescent="0.3">
      <c r="A68" s="41" t="s">
        <v>109</v>
      </c>
      <c r="B68" s="44" t="s">
        <v>151</v>
      </c>
      <c r="C68" s="45">
        <v>0</v>
      </c>
      <c r="D68" s="45"/>
      <c r="E68" s="45"/>
      <c r="F68" s="45"/>
    </row>
    <row r="69" spans="1:6" s="38" customFormat="1" ht="48" thickBot="1" x14ac:dyDescent="0.3">
      <c r="A69" s="41" t="s">
        <v>108</v>
      </c>
      <c r="B69" s="44" t="s">
        <v>152</v>
      </c>
      <c r="C69" s="45">
        <v>0</v>
      </c>
      <c r="D69" s="45"/>
      <c r="E69" s="45"/>
      <c r="F69" s="45"/>
    </row>
    <row r="70" spans="1:6" s="38" customFormat="1" ht="48" thickBot="1" x14ac:dyDescent="0.3">
      <c r="A70" s="41" t="s">
        <v>112</v>
      </c>
      <c r="B70" s="44" t="s">
        <v>153</v>
      </c>
      <c r="C70" s="45">
        <v>0</v>
      </c>
      <c r="D70" s="45"/>
      <c r="E70" s="45"/>
      <c r="F70" s="45"/>
    </row>
    <row r="71" spans="1:6" s="38" customFormat="1" ht="32.25" thickBot="1" x14ac:dyDescent="0.3">
      <c r="A71" s="41" t="s">
        <v>163</v>
      </c>
      <c r="B71" s="44" t="s">
        <v>164</v>
      </c>
      <c r="C71" s="45">
        <v>0</v>
      </c>
      <c r="D71" s="45"/>
      <c r="E71" s="45"/>
      <c r="F71" s="45"/>
    </row>
    <row r="72" spans="1:6" ht="16.5" thickBot="1" x14ac:dyDescent="0.3">
      <c r="A72" t="s">
        <v>89</v>
      </c>
      <c r="B72" s="26" t="s">
        <v>97</v>
      </c>
      <c r="C72" s="27">
        <v>0</v>
      </c>
      <c r="D72" s="27">
        <v>0</v>
      </c>
      <c r="E72" s="27">
        <v>0</v>
      </c>
      <c r="F72" s="27">
        <v>0</v>
      </c>
    </row>
    <row r="75" spans="1:6" x14ac:dyDescent="0.25">
      <c r="A75" t="s">
        <v>187</v>
      </c>
      <c r="B75" s="23">
        <v>1.25</v>
      </c>
      <c r="C75">
        <v>345</v>
      </c>
    </row>
    <row r="76" spans="1:6" x14ac:dyDescent="0.25">
      <c r="A76" t="s">
        <v>93</v>
      </c>
      <c r="B76" s="23">
        <v>1</v>
      </c>
      <c r="C76">
        <v>299</v>
      </c>
    </row>
    <row r="77" spans="1:6" x14ac:dyDescent="0.25">
      <c r="A77" t="s">
        <v>91</v>
      </c>
      <c r="B77" s="23">
        <v>1</v>
      </c>
      <c r="C77">
        <v>264</v>
      </c>
    </row>
    <row r="78" spans="1:6" x14ac:dyDescent="0.25">
      <c r="A78" t="s">
        <v>84</v>
      </c>
      <c r="B78" s="23">
        <v>0.83</v>
      </c>
      <c r="C78">
        <v>220</v>
      </c>
    </row>
    <row r="79" spans="1:6" x14ac:dyDescent="0.25">
      <c r="A79" t="s">
        <v>188</v>
      </c>
      <c r="B79" s="23">
        <v>0.67</v>
      </c>
      <c r="C79">
        <v>165</v>
      </c>
    </row>
    <row r="80" spans="1:6" s="38" customFormat="1" x14ac:dyDescent="0.25">
      <c r="A80" s="38" t="s">
        <v>87</v>
      </c>
      <c r="B80" s="23">
        <v>0.67</v>
      </c>
      <c r="C80" s="38">
        <v>165</v>
      </c>
    </row>
    <row r="81" spans="1:3" x14ac:dyDescent="0.25">
      <c r="A81" t="s">
        <v>92</v>
      </c>
      <c r="B81" s="23">
        <v>0.5</v>
      </c>
      <c r="C81">
        <v>110</v>
      </c>
    </row>
    <row r="88" spans="1:3" ht="105.6" customHeight="1" x14ac:dyDescent="0.25">
      <c r="B88" s="47" t="s">
        <v>119</v>
      </c>
    </row>
    <row r="89" spans="1:3" x14ac:dyDescent="0.25">
      <c r="B89" t="s">
        <v>120</v>
      </c>
    </row>
    <row r="90" spans="1:3" x14ac:dyDescent="0.25">
      <c r="B90" t="s">
        <v>121</v>
      </c>
    </row>
    <row r="91" spans="1:3" x14ac:dyDescent="0.25">
      <c r="B91" t="s">
        <v>122</v>
      </c>
    </row>
    <row r="94" spans="1:3" ht="165" x14ac:dyDescent="0.25">
      <c r="B94" s="46" t="s">
        <v>123</v>
      </c>
    </row>
    <row r="95" spans="1:3" x14ac:dyDescent="0.25">
      <c r="B95" t="s">
        <v>124</v>
      </c>
    </row>
    <row r="96" spans="1:3" x14ac:dyDescent="0.25">
      <c r="B96" t="s">
        <v>125</v>
      </c>
    </row>
    <row r="123" spans="2:2" x14ac:dyDescent="0.25">
      <c r="B123" s="52"/>
    </row>
    <row r="124" spans="2:2" x14ac:dyDescent="0.25">
      <c r="B124" s="52"/>
    </row>
    <row r="125" spans="2:2" x14ac:dyDescent="0.25">
      <c r="B125" s="52"/>
    </row>
    <row r="126" spans="2:2" x14ac:dyDescent="0.25">
      <c r="B126" s="52"/>
    </row>
    <row r="127" spans="2:2" x14ac:dyDescent="0.25">
      <c r="B127" s="52"/>
    </row>
    <row r="128" spans="2:2" x14ac:dyDescent="0.25">
      <c r="B128" s="52"/>
    </row>
    <row r="129" spans="2:2" x14ac:dyDescent="0.25">
      <c r="B129" s="52"/>
    </row>
    <row r="130" spans="2:2" x14ac:dyDescent="0.25">
      <c r="B130" s="52"/>
    </row>
    <row r="131" spans="2:2" x14ac:dyDescent="0.25">
      <c r="B131" s="52"/>
    </row>
    <row r="132" spans="2:2" x14ac:dyDescent="0.25">
      <c r="B132" s="52"/>
    </row>
    <row r="133" spans="2:2" x14ac:dyDescent="0.25">
      <c r="B133" s="52"/>
    </row>
    <row r="134" spans="2:2" x14ac:dyDescent="0.25">
      <c r="B134" s="52"/>
    </row>
    <row r="135" spans="2:2" x14ac:dyDescent="0.25">
      <c r="B135" s="52"/>
    </row>
    <row r="136" spans="2:2" x14ac:dyDescent="0.25">
      <c r="B136" s="52"/>
    </row>
    <row r="137" spans="2:2" x14ac:dyDescent="0.25">
      <c r="B137" s="52"/>
    </row>
    <row r="138" spans="2:2" x14ac:dyDescent="0.25">
      <c r="B138" s="52"/>
    </row>
    <row r="139" spans="2:2" x14ac:dyDescent="0.25">
      <c r="B139" s="52"/>
    </row>
    <row r="140" spans="2:2" x14ac:dyDescent="0.25">
      <c r="B140" s="52"/>
    </row>
    <row r="141" spans="2:2" x14ac:dyDescent="0.25">
      <c r="B141" s="52"/>
    </row>
    <row r="142" spans="2:2" x14ac:dyDescent="0.25">
      <c r="B142" s="52"/>
    </row>
    <row r="143" spans="2:2" x14ac:dyDescent="0.25">
      <c r="B143" s="52"/>
    </row>
    <row r="144" spans="2:2" x14ac:dyDescent="0.25">
      <c r="B144" s="52"/>
    </row>
  </sheetData>
  <mergeCells count="1">
    <mergeCell ref="D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Z27"/>
  <sheetViews>
    <sheetView zoomScale="60" zoomScaleNormal="60" workbookViewId="0">
      <pane ySplit="1" topLeftCell="A2" activePane="bottomLeft" state="frozen"/>
      <selection pane="bottomLeft" activeCell="E5" sqref="E5"/>
    </sheetView>
  </sheetViews>
  <sheetFormatPr defaultColWidth="8.85546875" defaultRowHeight="15" x14ac:dyDescent="0.25"/>
  <cols>
    <col min="1" max="3" width="2.7109375" style="75" customWidth="1"/>
    <col min="4" max="4" width="10.7109375" style="75" customWidth="1"/>
    <col min="5" max="5" width="45.7109375" style="75" customWidth="1"/>
    <col min="6" max="6" width="9.7109375" style="75" customWidth="1"/>
    <col min="7" max="7" width="15.7109375" style="75" customWidth="1"/>
    <col min="8" max="8" width="25.7109375" style="75" customWidth="1"/>
    <col min="9" max="9" width="15.7109375" style="76" customWidth="1"/>
    <col min="10" max="10" width="70.7109375" style="75" customWidth="1"/>
    <col min="11" max="12" width="12.7109375" style="75" customWidth="1"/>
    <col min="13" max="13" width="13.7109375" style="77" customWidth="1"/>
    <col min="14" max="14" width="20.7109375" style="75" customWidth="1"/>
    <col min="15" max="15" width="5.85546875" style="75" customWidth="1"/>
    <col min="16" max="16" width="20.7109375" style="75" customWidth="1"/>
    <col min="17" max="18" width="65.7109375" style="75" customWidth="1"/>
    <col min="19" max="19" width="13.42578125" style="67" customWidth="1"/>
    <col min="20" max="23" width="20.7109375" style="75" customWidth="1"/>
    <col min="24" max="24" width="8.85546875" style="75" customWidth="1"/>
    <col min="25" max="25" width="8.85546875" style="75"/>
    <col min="26" max="26" width="16.5703125" style="75" customWidth="1"/>
    <col min="27" max="27" width="10.28515625" style="75" bestFit="1" customWidth="1"/>
    <col min="28" max="16384" width="8.85546875" style="75"/>
  </cols>
  <sheetData>
    <row r="1" spans="1:26" s="83" customFormat="1" ht="99.95" customHeight="1" x14ac:dyDescent="0.3">
      <c r="A1" s="81"/>
      <c r="B1" s="81"/>
      <c r="C1" s="81"/>
      <c r="D1" s="79" t="s">
        <v>128</v>
      </c>
      <c r="E1" s="79" t="s">
        <v>129</v>
      </c>
      <c r="F1" s="79" t="s">
        <v>83</v>
      </c>
      <c r="G1" s="79" t="s">
        <v>81</v>
      </c>
      <c r="H1" s="79" t="s">
        <v>131</v>
      </c>
      <c r="I1" s="82" t="s">
        <v>137</v>
      </c>
      <c r="J1" s="79" t="s">
        <v>132</v>
      </c>
      <c r="K1" s="79" t="s">
        <v>80</v>
      </c>
      <c r="L1" s="79" t="s">
        <v>90</v>
      </c>
      <c r="M1" s="79" t="s">
        <v>130</v>
      </c>
      <c r="N1" s="79" t="s">
        <v>131</v>
      </c>
      <c r="O1" s="81"/>
      <c r="P1" s="79" t="s">
        <v>160</v>
      </c>
      <c r="Q1" s="79" t="s">
        <v>126</v>
      </c>
      <c r="R1" s="79" t="s">
        <v>127</v>
      </c>
      <c r="S1" s="100"/>
      <c r="T1" s="80" t="s">
        <v>155</v>
      </c>
      <c r="U1" s="80" t="s">
        <v>156</v>
      </c>
      <c r="V1" s="80" t="s">
        <v>157</v>
      </c>
      <c r="W1" s="80" t="s">
        <v>158</v>
      </c>
      <c r="Z1" s="83" t="str">
        <f ca="1">IFERROR(INDIRECT(CONCATENATE(IF(ISBLANK(#REF!),#REF!,#REF!&amp; "."&amp;#REF!),"!O9")), "маршрута нет")</f>
        <v>маршрута нет</v>
      </c>
    </row>
    <row r="2" spans="1:26" x14ac:dyDescent="0.25">
      <c r="A2" s="65"/>
      <c r="B2" s="65"/>
      <c r="C2" s="65"/>
      <c r="D2" s="63"/>
      <c r="E2" s="70"/>
      <c r="F2" s="70"/>
      <c r="G2" s="70"/>
      <c r="H2" s="70"/>
      <c r="I2" s="71"/>
      <c r="J2" s="68"/>
      <c r="K2" s="72"/>
      <c r="L2" s="72"/>
      <c r="M2" s="73"/>
      <c r="N2" s="66"/>
      <c r="O2" s="74"/>
      <c r="P2" s="66"/>
      <c r="Q2" s="68"/>
      <c r="R2" s="68"/>
      <c r="S2" s="68"/>
      <c r="T2" s="63"/>
      <c r="U2" s="63"/>
      <c r="V2" s="66"/>
      <c r="W2" s="66"/>
    </row>
    <row r="3" spans="1:26" s="94" customFormat="1" x14ac:dyDescent="0.25">
      <c r="A3" s="84"/>
      <c r="B3" s="84"/>
      <c r="C3" s="84"/>
      <c r="D3" s="85"/>
      <c r="E3" s="86"/>
      <c r="F3" s="86"/>
      <c r="G3" s="86"/>
      <c r="H3" s="86"/>
      <c r="I3" s="87"/>
      <c r="J3" s="88"/>
      <c r="K3" s="89"/>
      <c r="L3" s="90"/>
      <c r="M3" s="91"/>
      <c r="N3" s="92"/>
      <c r="O3" s="93"/>
      <c r="P3" s="92"/>
      <c r="Q3" s="88"/>
      <c r="R3" s="88"/>
      <c r="S3" s="88"/>
      <c r="T3" s="85"/>
      <c r="U3" s="85"/>
      <c r="V3" s="92"/>
      <c r="W3" s="92"/>
    </row>
    <row r="4" spans="1:26" s="94" customFormat="1" x14ac:dyDescent="0.25">
      <c r="A4" s="84"/>
      <c r="B4" s="84"/>
      <c r="C4" s="84"/>
      <c r="D4" s="85"/>
      <c r="E4" s="86"/>
      <c r="F4" s="86"/>
      <c r="G4" s="86"/>
      <c r="H4" s="86"/>
      <c r="I4" s="87"/>
      <c r="J4" s="88"/>
      <c r="K4" s="89"/>
      <c r="L4" s="90"/>
      <c r="M4" s="91"/>
      <c r="N4" s="92"/>
      <c r="O4" s="93"/>
      <c r="P4" s="92"/>
      <c r="Q4" s="88"/>
      <c r="R4" s="88"/>
      <c r="S4" s="88"/>
      <c r="T4" s="85"/>
      <c r="U4" s="85"/>
      <c r="V4" s="92"/>
      <c r="W4" s="92"/>
    </row>
    <row r="5" spans="1:26" s="94" customFormat="1" x14ac:dyDescent="0.25">
      <c r="A5" s="84"/>
      <c r="B5" s="84"/>
      <c r="C5" s="84"/>
      <c r="D5" s="95"/>
      <c r="E5" s="86"/>
      <c r="F5" s="86"/>
      <c r="G5" s="86"/>
      <c r="H5" s="86"/>
      <c r="I5" s="87"/>
      <c r="J5" s="88"/>
      <c r="K5" s="89"/>
      <c r="L5" s="90"/>
      <c r="M5" s="91"/>
      <c r="N5" s="92"/>
      <c r="O5" s="93"/>
      <c r="P5" s="92"/>
      <c r="Q5" s="88"/>
      <c r="R5" s="96"/>
      <c r="S5" s="88"/>
      <c r="T5" s="88"/>
      <c r="U5" s="92"/>
      <c r="V5" s="92"/>
      <c r="W5" s="92"/>
    </row>
    <row r="6" spans="1:26" s="94" customFormat="1" x14ac:dyDescent="0.25">
      <c r="A6" s="84"/>
      <c r="B6" s="84"/>
      <c r="C6" s="84"/>
      <c r="D6" s="95"/>
      <c r="E6" s="86"/>
      <c r="F6" s="86"/>
      <c r="G6" s="86"/>
      <c r="H6" s="86"/>
      <c r="I6" s="87"/>
      <c r="J6" s="88"/>
      <c r="K6" s="89"/>
      <c r="L6" s="90"/>
      <c r="M6" s="91"/>
      <c r="N6" s="92"/>
      <c r="O6" s="93"/>
      <c r="P6" s="92"/>
      <c r="Q6" s="97"/>
      <c r="R6" s="96"/>
      <c r="S6" s="92"/>
      <c r="T6" s="92"/>
      <c r="U6" s="92"/>
      <c r="V6" s="92"/>
      <c r="W6" s="92"/>
    </row>
    <row r="7" spans="1:26" s="94" customFormat="1" x14ac:dyDescent="0.25">
      <c r="A7" s="84"/>
      <c r="B7" s="84"/>
      <c r="C7" s="84"/>
      <c r="D7" s="95"/>
      <c r="E7" s="86"/>
      <c r="F7" s="86"/>
      <c r="G7" s="86"/>
      <c r="H7" s="86"/>
      <c r="I7" s="87"/>
      <c r="J7" s="88"/>
      <c r="K7" s="89"/>
      <c r="L7" s="90"/>
      <c r="M7" s="91"/>
      <c r="N7" s="92"/>
      <c r="O7" s="93"/>
      <c r="P7" s="92"/>
      <c r="Q7" s="86"/>
      <c r="R7" s="96"/>
      <c r="S7" s="92"/>
      <c r="T7" s="92"/>
      <c r="U7" s="92"/>
      <c r="V7" s="92"/>
      <c r="W7" s="92"/>
    </row>
    <row r="8" spans="1:26" s="94" customFormat="1" x14ac:dyDescent="0.25">
      <c r="A8" s="84"/>
      <c r="B8" s="84"/>
      <c r="C8" s="84"/>
      <c r="D8" s="95"/>
      <c r="E8" s="86"/>
      <c r="F8" s="86"/>
      <c r="G8" s="86"/>
      <c r="H8" s="86"/>
      <c r="I8" s="87"/>
      <c r="J8" s="88"/>
      <c r="K8" s="89"/>
      <c r="L8" s="90"/>
      <c r="M8" s="91"/>
      <c r="N8" s="92"/>
      <c r="O8" s="93"/>
      <c r="P8" s="92"/>
      <c r="Q8" s="88"/>
      <c r="R8" s="96"/>
      <c r="S8" s="92"/>
      <c r="T8" s="92"/>
      <c r="U8" s="92"/>
      <c r="V8" s="92"/>
      <c r="W8" s="92"/>
    </row>
    <row r="9" spans="1:26" s="94" customFormat="1" x14ac:dyDescent="0.25">
      <c r="A9" s="84"/>
      <c r="B9" s="84"/>
      <c r="C9" s="84"/>
      <c r="D9" s="95"/>
      <c r="E9" s="86"/>
      <c r="F9" s="86"/>
      <c r="G9" s="86"/>
      <c r="H9" s="86"/>
      <c r="I9" s="87"/>
      <c r="J9" s="88"/>
      <c r="K9" s="89"/>
      <c r="L9" s="90"/>
      <c r="M9" s="91"/>
      <c r="N9" s="92"/>
      <c r="O9" s="93"/>
      <c r="P9" s="92"/>
      <c r="Q9" s="86"/>
      <c r="R9" s="96"/>
      <c r="S9" s="92"/>
      <c r="T9" s="92"/>
      <c r="U9" s="92"/>
      <c r="V9" s="92"/>
      <c r="W9" s="92"/>
    </row>
    <row r="10" spans="1:26" s="94" customFormat="1" x14ac:dyDescent="0.25">
      <c r="A10" s="84"/>
      <c r="B10" s="84"/>
      <c r="C10" s="84"/>
      <c r="D10" s="95"/>
      <c r="E10" s="88"/>
      <c r="F10" s="86"/>
      <c r="G10" s="86"/>
      <c r="H10" s="86"/>
      <c r="I10" s="87"/>
      <c r="J10" s="88"/>
      <c r="K10" s="89"/>
      <c r="L10" s="88"/>
      <c r="M10" s="96"/>
      <c r="N10" s="92"/>
      <c r="O10" s="93"/>
      <c r="P10" s="92"/>
      <c r="Q10" s="88"/>
      <c r="R10" s="97"/>
      <c r="S10" s="92"/>
      <c r="T10" s="92"/>
      <c r="U10" s="92"/>
      <c r="V10" s="92"/>
      <c r="W10" s="92"/>
    </row>
    <row r="11" spans="1:26" s="94" customFormat="1" x14ac:dyDescent="0.25">
      <c r="A11" s="84"/>
      <c r="B11" s="84"/>
      <c r="C11" s="84"/>
      <c r="D11" s="85"/>
      <c r="E11" s="86"/>
      <c r="F11" s="86"/>
      <c r="G11" s="86"/>
      <c r="H11" s="86"/>
      <c r="I11" s="87"/>
      <c r="J11" s="88"/>
      <c r="K11" s="89"/>
      <c r="L11" s="90"/>
      <c r="M11" s="91"/>
      <c r="N11" s="92"/>
      <c r="O11" s="93"/>
      <c r="P11" s="88"/>
      <c r="Q11" s="86"/>
      <c r="R11" s="88"/>
      <c r="S11" s="92"/>
      <c r="T11" s="92"/>
      <c r="U11" s="92"/>
      <c r="V11" s="92"/>
      <c r="W11" s="92"/>
    </row>
    <row r="12" spans="1:26" s="94" customFormat="1" x14ac:dyDescent="0.25">
      <c r="A12" s="84"/>
      <c r="B12" s="84"/>
      <c r="C12" s="84"/>
      <c r="D12" s="85"/>
      <c r="E12" s="86"/>
      <c r="F12" s="86"/>
      <c r="G12" s="86"/>
      <c r="H12" s="86"/>
      <c r="I12" s="87"/>
      <c r="J12" s="88"/>
      <c r="K12" s="89"/>
      <c r="L12" s="98"/>
      <c r="M12" s="91"/>
      <c r="N12" s="92"/>
      <c r="O12" s="93"/>
      <c r="P12" s="88"/>
      <c r="Q12" s="88"/>
      <c r="R12" s="86"/>
      <c r="S12" s="88"/>
      <c r="T12" s="88"/>
      <c r="U12" s="92"/>
      <c r="V12" s="92"/>
      <c r="W12" s="92"/>
    </row>
    <row r="13" spans="1:26" s="94" customFormat="1" x14ac:dyDescent="0.25">
      <c r="A13" s="84"/>
      <c r="B13" s="84"/>
      <c r="C13" s="84"/>
      <c r="D13" s="85"/>
      <c r="E13" s="86"/>
      <c r="F13" s="86"/>
      <c r="G13" s="86"/>
      <c r="H13" s="86"/>
      <c r="I13" s="87"/>
      <c r="J13" s="88"/>
      <c r="K13" s="89"/>
      <c r="L13" s="90"/>
      <c r="M13" s="91"/>
      <c r="N13" s="92"/>
      <c r="O13" s="93"/>
      <c r="P13" s="88"/>
      <c r="Q13" s="88"/>
      <c r="R13" s="88"/>
      <c r="S13" s="92"/>
      <c r="T13" s="92"/>
      <c r="U13" s="92"/>
      <c r="V13" s="92"/>
      <c r="W13" s="92"/>
    </row>
    <row r="14" spans="1:26" s="94" customFormat="1" x14ac:dyDescent="0.25">
      <c r="A14" s="84"/>
      <c r="B14" s="84"/>
      <c r="C14" s="84"/>
      <c r="D14" s="85"/>
      <c r="E14" s="88"/>
      <c r="F14" s="86"/>
      <c r="G14" s="86"/>
      <c r="H14" s="86"/>
      <c r="I14" s="87"/>
      <c r="J14" s="88"/>
      <c r="K14" s="89"/>
      <c r="L14" s="90"/>
      <c r="M14" s="91"/>
      <c r="N14" s="92"/>
      <c r="O14" s="93"/>
      <c r="P14" s="88"/>
      <c r="Q14" s="86"/>
      <c r="R14" s="88"/>
      <c r="S14" s="92"/>
      <c r="T14" s="92"/>
      <c r="U14" s="92"/>
      <c r="V14" s="92"/>
      <c r="W14" s="92"/>
    </row>
    <row r="15" spans="1:26" s="94" customFormat="1" x14ac:dyDescent="0.25">
      <c r="A15" s="84"/>
      <c r="B15" s="84"/>
      <c r="C15" s="84"/>
      <c r="D15" s="85"/>
      <c r="E15" s="88"/>
      <c r="F15" s="86"/>
      <c r="G15" s="86"/>
      <c r="H15" s="86"/>
      <c r="I15" s="87"/>
      <c r="J15" s="88"/>
      <c r="K15" s="89"/>
      <c r="L15" s="90"/>
      <c r="M15" s="91"/>
      <c r="N15" s="92"/>
      <c r="O15" s="93"/>
      <c r="P15" s="88"/>
      <c r="Q15" s="88"/>
      <c r="R15" s="88"/>
      <c r="S15" s="92"/>
      <c r="T15" s="92"/>
      <c r="U15" s="92"/>
      <c r="V15" s="92"/>
      <c r="W15" s="92"/>
    </row>
    <row r="16" spans="1:26" s="94" customFormat="1" x14ac:dyDescent="0.25">
      <c r="A16" s="84"/>
      <c r="B16" s="84"/>
      <c r="C16" s="84"/>
      <c r="D16" s="85"/>
      <c r="E16" s="86"/>
      <c r="F16" s="86"/>
      <c r="G16" s="86"/>
      <c r="H16" s="86"/>
      <c r="I16" s="87"/>
      <c r="J16" s="88"/>
      <c r="K16" s="89"/>
      <c r="L16" s="99"/>
      <c r="M16" s="91"/>
      <c r="N16" s="92"/>
      <c r="O16" s="93"/>
      <c r="P16" s="88"/>
      <c r="Q16" s="88"/>
      <c r="R16" s="88"/>
      <c r="S16" s="92"/>
      <c r="T16" s="92"/>
      <c r="U16" s="92"/>
      <c r="V16" s="92"/>
      <c r="W16" s="92"/>
    </row>
    <row r="17" spans="1:23" s="94" customFormat="1" x14ac:dyDescent="0.25">
      <c r="A17" s="84"/>
      <c r="B17" s="84"/>
      <c r="C17" s="84"/>
      <c r="D17" s="85"/>
      <c r="E17" s="86"/>
      <c r="F17" s="86"/>
      <c r="G17" s="86"/>
      <c r="H17" s="86"/>
      <c r="I17" s="87"/>
      <c r="J17" s="88"/>
      <c r="K17" s="89"/>
      <c r="L17" s="99"/>
      <c r="M17" s="91"/>
      <c r="N17" s="92"/>
      <c r="O17" s="93"/>
      <c r="P17" s="88"/>
      <c r="Q17" s="88"/>
      <c r="R17" s="88"/>
      <c r="S17" s="92"/>
      <c r="T17" s="92"/>
      <c r="U17" s="92"/>
      <c r="V17" s="92"/>
      <c r="W17" s="92"/>
    </row>
    <row r="18" spans="1:23" s="94" customFormat="1" x14ac:dyDescent="0.25">
      <c r="A18" s="84"/>
      <c r="B18" s="84"/>
      <c r="C18" s="84"/>
      <c r="D18" s="85"/>
      <c r="E18" s="86"/>
      <c r="F18" s="86"/>
      <c r="G18" s="86"/>
      <c r="H18" s="86"/>
      <c r="I18" s="87"/>
      <c r="J18" s="88"/>
      <c r="K18" s="89"/>
      <c r="L18" s="99"/>
      <c r="M18" s="91"/>
      <c r="N18" s="92"/>
      <c r="O18" s="93"/>
      <c r="P18" s="88"/>
      <c r="Q18" s="86"/>
      <c r="R18" s="88"/>
      <c r="S18" s="92"/>
      <c r="T18" s="92"/>
      <c r="U18" s="92"/>
      <c r="V18" s="92"/>
      <c r="W18" s="92"/>
    </row>
    <row r="19" spans="1:23" s="94" customFormat="1" x14ac:dyDescent="0.25">
      <c r="A19" s="84"/>
      <c r="B19" s="84"/>
      <c r="C19" s="84"/>
      <c r="D19" s="85"/>
      <c r="E19" s="86"/>
      <c r="F19" s="86"/>
      <c r="G19" s="86"/>
      <c r="H19" s="86"/>
      <c r="I19" s="87"/>
      <c r="J19" s="88"/>
      <c r="K19" s="89"/>
      <c r="L19" s="99"/>
      <c r="M19" s="91"/>
      <c r="N19" s="92"/>
      <c r="O19" s="93"/>
      <c r="P19" s="88"/>
      <c r="Q19" s="88"/>
      <c r="R19" s="88"/>
      <c r="S19" s="92"/>
      <c r="T19" s="92"/>
      <c r="U19" s="92"/>
      <c r="V19" s="92"/>
      <c r="W19" s="92"/>
    </row>
    <row r="20" spans="1:23" s="94" customFormat="1" x14ac:dyDescent="0.25">
      <c r="A20" s="84"/>
      <c r="B20" s="84"/>
      <c r="C20" s="84"/>
      <c r="D20" s="85"/>
      <c r="E20" s="86"/>
      <c r="F20" s="86"/>
      <c r="G20" s="86"/>
      <c r="H20" s="86"/>
      <c r="I20" s="87"/>
      <c r="J20" s="88"/>
      <c r="K20" s="89"/>
      <c r="L20" s="99"/>
      <c r="M20" s="91"/>
      <c r="N20" s="92"/>
      <c r="O20" s="93"/>
      <c r="P20" s="88"/>
      <c r="Q20" s="88"/>
      <c r="R20" s="88"/>
      <c r="S20" s="92"/>
      <c r="T20" s="92"/>
      <c r="U20" s="92"/>
      <c r="V20" s="92"/>
      <c r="W20" s="92"/>
    </row>
    <row r="21" spans="1:23" s="94" customFormat="1" x14ac:dyDescent="0.25">
      <c r="A21" s="84"/>
      <c r="B21" s="84"/>
      <c r="C21" s="84"/>
      <c r="D21" s="85"/>
      <c r="E21" s="88"/>
      <c r="F21" s="86"/>
      <c r="G21" s="86"/>
      <c r="H21" s="86"/>
      <c r="I21" s="89"/>
      <c r="J21" s="88"/>
      <c r="K21" s="89"/>
      <c r="L21" s="99"/>
      <c r="M21" s="91"/>
      <c r="N21" s="92"/>
      <c r="O21" s="93"/>
      <c r="P21" s="88"/>
      <c r="Q21" s="88"/>
      <c r="R21" s="88"/>
      <c r="S21" s="92"/>
      <c r="T21" s="92"/>
      <c r="U21" s="92"/>
      <c r="V21" s="92"/>
      <c r="W21" s="92"/>
    </row>
    <row r="22" spans="1:23" s="94" customFormat="1" x14ac:dyDescent="0.25">
      <c r="A22" s="84"/>
      <c r="B22" s="84"/>
      <c r="C22" s="84"/>
      <c r="D22" s="85"/>
      <c r="E22" s="86"/>
      <c r="F22" s="86"/>
      <c r="G22" s="86"/>
      <c r="H22" s="86"/>
      <c r="I22" s="87"/>
      <c r="J22" s="87"/>
      <c r="K22" s="89"/>
      <c r="L22" s="99"/>
      <c r="M22" s="91"/>
      <c r="N22" s="92"/>
      <c r="O22" s="93"/>
      <c r="P22" s="88"/>
      <c r="Q22" s="86"/>
      <c r="R22" s="86"/>
      <c r="S22" s="92"/>
      <c r="T22" s="92"/>
      <c r="U22" s="92"/>
      <c r="V22" s="92"/>
      <c r="W22" s="92"/>
    </row>
    <row r="23" spans="1:23" s="94" customFormat="1" x14ac:dyDescent="0.25">
      <c r="A23" s="84"/>
      <c r="B23" s="84"/>
      <c r="C23" s="84"/>
      <c r="D23" s="85"/>
      <c r="E23" s="86"/>
      <c r="F23" s="86"/>
      <c r="G23" s="86"/>
      <c r="H23" s="86"/>
      <c r="I23" s="87"/>
      <c r="J23" s="87"/>
      <c r="K23" s="89"/>
      <c r="L23" s="99"/>
      <c r="M23" s="91"/>
      <c r="N23" s="92"/>
      <c r="O23" s="93"/>
      <c r="P23" s="92"/>
      <c r="Q23" s="86"/>
      <c r="R23" s="86"/>
      <c r="S23" s="92"/>
      <c r="T23" s="92"/>
      <c r="U23" s="92"/>
      <c r="V23" s="92"/>
      <c r="W23" s="92"/>
    </row>
    <row r="24" spans="1:23" s="94" customFormat="1" x14ac:dyDescent="0.25">
      <c r="A24" s="84"/>
      <c r="B24" s="84"/>
      <c r="C24" s="84"/>
      <c r="D24" s="85"/>
      <c r="E24" s="86"/>
      <c r="F24" s="86"/>
      <c r="G24" s="86"/>
      <c r="H24" s="86"/>
      <c r="I24" s="98"/>
      <c r="J24" s="87"/>
      <c r="K24" s="89"/>
      <c r="L24" s="98"/>
      <c r="M24" s="86"/>
      <c r="N24" s="92"/>
      <c r="O24" s="93"/>
      <c r="P24" s="92"/>
      <c r="Q24" s="86"/>
      <c r="R24" s="86"/>
      <c r="S24" s="92"/>
      <c r="T24" s="92"/>
      <c r="U24" s="92"/>
      <c r="V24" s="92"/>
      <c r="W24" s="92"/>
    </row>
    <row r="25" spans="1:23" s="94" customFormat="1" x14ac:dyDescent="0.25">
      <c r="A25" s="84"/>
      <c r="B25" s="84"/>
      <c r="C25" s="84"/>
      <c r="D25" s="85"/>
      <c r="E25" s="86"/>
      <c r="F25" s="86"/>
      <c r="G25" s="86"/>
      <c r="H25" s="86"/>
      <c r="I25" s="87"/>
      <c r="J25" s="87"/>
      <c r="K25" s="89"/>
      <c r="L25" s="99"/>
      <c r="M25" s="91"/>
      <c r="N25" s="92"/>
      <c r="O25" s="93"/>
      <c r="P25" s="92"/>
      <c r="Q25" s="86"/>
      <c r="R25" s="86"/>
      <c r="S25" s="92"/>
      <c r="T25" s="92"/>
      <c r="U25" s="92"/>
      <c r="V25" s="92"/>
      <c r="W25" s="92"/>
    </row>
    <row r="26" spans="1:23" s="94" customFormat="1" x14ac:dyDescent="0.25">
      <c r="A26" s="84"/>
      <c r="B26" s="84"/>
      <c r="C26" s="84"/>
      <c r="D26" s="85"/>
      <c r="E26" s="86"/>
      <c r="F26" s="86"/>
      <c r="G26" s="86"/>
      <c r="H26" s="86"/>
      <c r="I26" s="87"/>
      <c r="J26" s="87"/>
      <c r="K26" s="89"/>
      <c r="L26" s="99"/>
      <c r="M26" s="91"/>
      <c r="N26" s="92"/>
      <c r="O26" s="93"/>
      <c r="P26" s="88"/>
      <c r="Q26" s="86"/>
      <c r="R26" s="86"/>
      <c r="S26" s="92"/>
      <c r="T26" s="92"/>
      <c r="U26" s="92"/>
      <c r="V26" s="92"/>
      <c r="W26" s="92"/>
    </row>
    <row r="27" spans="1:23" s="94" customFormat="1" x14ac:dyDescent="0.25">
      <c r="A27" s="84"/>
      <c r="B27" s="84"/>
      <c r="C27" s="84"/>
      <c r="D27" s="85"/>
      <c r="E27" s="86"/>
      <c r="F27" s="86"/>
      <c r="G27" s="86"/>
      <c r="H27" s="86"/>
      <c r="I27" s="86"/>
      <c r="J27" s="86"/>
      <c r="K27" s="89"/>
      <c r="L27" s="86"/>
      <c r="M27" s="86"/>
      <c r="N27" s="92"/>
      <c r="O27" s="87"/>
      <c r="P27" s="86"/>
      <c r="Q27" s="86"/>
      <c r="R27" s="86"/>
      <c r="S27" s="92"/>
      <c r="T27" s="92"/>
      <c r="U27" s="92"/>
      <c r="V27" s="92"/>
      <c r="W27" s="92"/>
    </row>
  </sheetData>
  <phoneticPr fontId="12" type="noConversion"/>
  <conditionalFormatting sqref="D1:D1048576">
    <cfRule type="duplicateValues" dxfId="6" priority="6"/>
  </conditionalFormatting>
  <conditionalFormatting sqref="T1:W1048576">
    <cfRule type="expression" dxfId="5" priority="5">
      <formula>NOT(ISBLANK(T1))</formula>
    </cfRule>
  </conditionalFormatting>
  <conditionalFormatting sqref="F1:I1048576">
    <cfRule type="containsBlanks" dxfId="4" priority="8">
      <formula>LEN(TRIM(F1))=0</formula>
    </cfRule>
  </conditionalFormatting>
  <conditionalFormatting sqref="K1:K1048576">
    <cfRule type="containsBlanks" dxfId="3" priority="7">
      <formula>LEN(TRIM(K1))=0</formula>
    </cfRule>
  </conditionalFormatting>
  <conditionalFormatting sqref="L2:L1048576">
    <cfRule type="expression" dxfId="2" priority="2">
      <formula>AND(AE2&lt;&gt;"", AE2&lt;&gt;0)</formula>
    </cfRule>
  </conditionalFormatting>
  <conditionalFormatting sqref="Q1:R1048576">
    <cfRule type="containsBlanks" dxfId="1" priority="1">
      <formula>LEN(TRIM(Q1))=0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L29"/>
  <sheetViews>
    <sheetView tabSelected="1" workbookViewId="0">
      <selection activeCell="E9" sqref="E9"/>
    </sheetView>
  </sheetViews>
  <sheetFormatPr defaultColWidth="8.85546875" defaultRowHeight="15" x14ac:dyDescent="0.25"/>
  <cols>
    <col min="1" max="1" width="8.85546875" style="38"/>
    <col min="2" max="2" width="48.7109375" style="38" customWidth="1"/>
    <col min="3" max="3" width="9.7109375" style="38" customWidth="1"/>
    <col min="4" max="4" width="19.7109375" style="38" customWidth="1"/>
    <col min="5" max="5" width="17.42578125" style="54" customWidth="1"/>
    <col min="6" max="6" width="15.42578125" style="38" customWidth="1"/>
    <col min="7" max="7" width="19.7109375" style="38" customWidth="1"/>
    <col min="8" max="8" width="22.28515625" customWidth="1"/>
    <col min="9" max="12" width="15.7109375" style="38" customWidth="1"/>
    <col min="13" max="16384" width="8.85546875" style="38"/>
  </cols>
  <sheetData>
    <row r="1" spans="1:12" ht="38.25" x14ac:dyDescent="0.25">
      <c r="A1" s="201" t="s">
        <v>128</v>
      </c>
      <c r="B1" s="201" t="s">
        <v>129</v>
      </c>
      <c r="C1" s="201" t="s">
        <v>83</v>
      </c>
      <c r="D1" s="201" t="s">
        <v>81</v>
      </c>
      <c r="E1" s="202" t="s">
        <v>137</v>
      </c>
      <c r="F1" s="201" t="s">
        <v>90</v>
      </c>
      <c r="G1" s="203" t="s">
        <v>191</v>
      </c>
      <c r="H1" s="203" t="s">
        <v>192</v>
      </c>
      <c r="I1" s="60" t="s">
        <v>155</v>
      </c>
      <c r="J1" s="60" t="s">
        <v>156</v>
      </c>
      <c r="K1" s="60" t="s">
        <v>157</v>
      </c>
      <c r="L1" s="60" t="s">
        <v>158</v>
      </c>
    </row>
    <row r="2" spans="1:12" ht="24.95" customHeight="1" x14ac:dyDescent="0.25">
      <c r="A2" s="57"/>
      <c r="B2" s="57"/>
      <c r="C2" s="57"/>
      <c r="D2" s="57"/>
      <c r="E2" s="64"/>
      <c r="F2" s="58"/>
      <c r="G2" s="204"/>
      <c r="H2" s="205"/>
      <c r="I2" s="61"/>
      <c r="J2" s="61"/>
      <c r="K2" s="61"/>
      <c r="L2" s="61"/>
    </row>
    <row r="3" spans="1:12" ht="24.95" customHeight="1" x14ac:dyDescent="0.25">
      <c r="A3" s="57"/>
      <c r="B3" s="57"/>
      <c r="C3" s="57"/>
      <c r="D3" s="57"/>
      <c r="E3" s="64"/>
      <c r="F3" s="58"/>
      <c r="G3" s="204"/>
      <c r="H3" s="205"/>
      <c r="I3" s="61"/>
      <c r="J3" s="61"/>
      <c r="K3" s="61"/>
      <c r="L3" s="61"/>
    </row>
    <row r="4" spans="1:12" ht="24.95" customHeight="1" x14ac:dyDescent="0.25">
      <c r="A4" s="57"/>
      <c r="B4" s="57"/>
      <c r="C4" s="57"/>
      <c r="D4" s="57"/>
      <c r="E4" s="64"/>
      <c r="F4" s="58"/>
      <c r="G4" s="204"/>
      <c r="H4" s="205"/>
      <c r="I4" s="61"/>
      <c r="J4" s="61"/>
      <c r="K4" s="61"/>
      <c r="L4" s="61"/>
    </row>
    <row r="5" spans="1:12" ht="24.95" customHeight="1" x14ac:dyDescent="0.25">
      <c r="A5" s="57"/>
      <c r="B5" s="57"/>
      <c r="C5" s="57"/>
      <c r="D5" s="57"/>
      <c r="E5" s="64"/>
      <c r="F5" s="58"/>
      <c r="G5" s="204"/>
      <c r="H5" s="205"/>
      <c r="I5" s="61"/>
      <c r="J5" s="61"/>
      <c r="K5" s="61"/>
      <c r="L5" s="61"/>
    </row>
    <row r="6" spans="1:12" ht="24.95" customHeight="1" x14ac:dyDescent="0.25">
      <c r="A6" s="57"/>
      <c r="B6" s="57"/>
      <c r="C6" s="57"/>
      <c r="D6" s="57"/>
      <c r="E6" s="64"/>
      <c r="F6" s="58"/>
      <c r="G6" s="204"/>
      <c r="H6" s="205"/>
      <c r="I6" s="61"/>
      <c r="J6" s="61"/>
      <c r="K6" s="61"/>
      <c r="L6" s="61"/>
    </row>
    <row r="7" spans="1:12" ht="24.95" customHeight="1" x14ac:dyDescent="0.25">
      <c r="A7" s="57"/>
      <c r="B7" s="57"/>
      <c r="C7" s="57"/>
      <c r="D7" s="57"/>
      <c r="E7" s="64"/>
      <c r="F7" s="58"/>
      <c r="G7" s="204"/>
      <c r="H7" s="205"/>
      <c r="I7" s="61"/>
      <c r="J7" s="61"/>
      <c r="K7" s="61"/>
      <c r="L7" s="61"/>
    </row>
    <row r="8" spans="1:12" ht="24.95" customHeight="1" x14ac:dyDescent="0.25">
      <c r="A8" s="57"/>
      <c r="B8" s="57"/>
      <c r="C8" s="57"/>
      <c r="D8" s="57"/>
      <c r="E8" s="64"/>
      <c r="F8" s="58"/>
      <c r="G8" s="204"/>
      <c r="H8" s="205"/>
      <c r="I8" s="61"/>
      <c r="J8" s="61"/>
      <c r="K8" s="61"/>
      <c r="L8" s="61"/>
    </row>
    <row r="9" spans="1:12" ht="24.95" customHeight="1" x14ac:dyDescent="0.25">
      <c r="A9" s="57"/>
      <c r="B9" s="57"/>
      <c r="C9" s="57"/>
      <c r="D9" s="57"/>
      <c r="E9" s="64"/>
      <c r="F9" s="58"/>
      <c r="G9" s="204"/>
      <c r="H9" s="205"/>
      <c r="I9" s="61"/>
      <c r="J9" s="61"/>
      <c r="K9" s="61"/>
      <c r="L9" s="61"/>
    </row>
    <row r="10" spans="1:12" ht="24.95" customHeight="1" x14ac:dyDescent="0.25">
      <c r="A10" s="57"/>
      <c r="B10" s="57"/>
      <c r="C10" s="57"/>
      <c r="D10" s="57"/>
      <c r="E10" s="64"/>
      <c r="F10" s="58"/>
      <c r="G10" s="204"/>
      <c r="H10" s="205"/>
      <c r="I10" s="61"/>
      <c r="J10" s="61"/>
      <c r="K10" s="61"/>
      <c r="L10" s="61"/>
    </row>
    <row r="11" spans="1:12" ht="24.95" customHeight="1" x14ac:dyDescent="0.25">
      <c r="A11" s="57"/>
      <c r="B11" s="57"/>
      <c r="C11" s="57"/>
      <c r="D11" s="57"/>
      <c r="E11" s="64"/>
      <c r="F11" s="58"/>
      <c r="G11" s="204"/>
      <c r="H11" s="205"/>
      <c r="I11" s="61"/>
      <c r="J11" s="61"/>
      <c r="K11" s="61"/>
      <c r="L11" s="61"/>
    </row>
    <row r="12" spans="1:12" ht="24.95" customHeight="1" x14ac:dyDescent="0.25">
      <c r="A12" s="57"/>
      <c r="B12" s="57"/>
      <c r="C12" s="57"/>
      <c r="D12" s="57"/>
      <c r="E12" s="64"/>
      <c r="F12" s="58"/>
      <c r="G12" s="204"/>
      <c r="H12" s="205"/>
      <c r="I12" s="61"/>
      <c r="J12" s="61"/>
      <c r="K12" s="61"/>
      <c r="L12" s="61"/>
    </row>
    <row r="13" spans="1:12" ht="24.95" customHeight="1" x14ac:dyDescent="0.25">
      <c r="A13" s="57"/>
      <c r="B13" s="57"/>
      <c r="C13" s="57"/>
      <c r="D13" s="57"/>
      <c r="E13" s="64"/>
      <c r="F13" s="58"/>
      <c r="G13" s="204"/>
      <c r="H13" s="205"/>
      <c r="I13" s="61"/>
      <c r="J13" s="61"/>
      <c r="K13" s="61"/>
      <c r="L13" s="61"/>
    </row>
    <row r="14" spans="1:12" ht="24.95" customHeight="1" x14ac:dyDescent="0.25">
      <c r="A14" s="57"/>
      <c r="B14" s="57"/>
      <c r="C14" s="57"/>
      <c r="D14" s="57"/>
      <c r="E14" s="64"/>
      <c r="F14" s="58"/>
      <c r="G14" s="204"/>
      <c r="H14" s="205"/>
      <c r="I14" s="61"/>
      <c r="J14" s="61"/>
      <c r="K14" s="61"/>
      <c r="L14" s="61"/>
    </row>
    <row r="15" spans="1:12" ht="24.95" customHeight="1" x14ac:dyDescent="0.25">
      <c r="A15" s="57"/>
      <c r="B15" s="57"/>
      <c r="C15" s="57"/>
      <c r="D15" s="57"/>
      <c r="E15" s="64"/>
      <c r="F15" s="58"/>
      <c r="G15" s="204"/>
      <c r="H15" s="205"/>
      <c r="I15" s="61"/>
      <c r="J15" s="61"/>
      <c r="K15" s="61"/>
      <c r="L15" s="61"/>
    </row>
    <row r="16" spans="1:12" ht="24.95" customHeight="1" x14ac:dyDescent="0.25">
      <c r="A16" s="57"/>
      <c r="B16" s="57"/>
      <c r="C16" s="57"/>
      <c r="D16" s="57"/>
      <c r="E16" s="64"/>
      <c r="F16" s="58"/>
      <c r="G16" s="204"/>
      <c r="H16" s="205"/>
      <c r="I16" s="61"/>
      <c r="J16" s="61"/>
      <c r="K16" s="61"/>
      <c r="L16" s="61"/>
    </row>
    <row r="17" spans="1:12" ht="24.95" customHeight="1" x14ac:dyDescent="0.25">
      <c r="A17" s="57"/>
      <c r="B17" s="57"/>
      <c r="C17" s="57"/>
      <c r="D17" s="57"/>
      <c r="E17" s="64"/>
      <c r="F17" s="58"/>
      <c r="G17" s="204"/>
      <c r="H17" s="205"/>
      <c r="I17" s="61"/>
      <c r="J17" s="61"/>
      <c r="K17" s="61"/>
      <c r="L17" s="61"/>
    </row>
    <row r="18" spans="1:12" ht="24.95" customHeight="1" x14ac:dyDescent="0.25">
      <c r="A18" s="57"/>
      <c r="B18" s="57"/>
      <c r="C18" s="57"/>
      <c r="D18" s="57"/>
      <c r="E18" s="64"/>
      <c r="F18" s="58"/>
      <c r="G18" s="204"/>
      <c r="H18" s="205"/>
      <c r="I18" s="61"/>
      <c r="J18" s="61"/>
      <c r="K18" s="61"/>
      <c r="L18" s="61"/>
    </row>
    <row r="19" spans="1:12" ht="24.95" customHeight="1" x14ac:dyDescent="0.25">
      <c r="A19" s="57"/>
      <c r="B19" s="57"/>
      <c r="C19" s="57"/>
      <c r="D19" s="57"/>
      <c r="E19" s="64"/>
      <c r="F19" s="58"/>
      <c r="G19" s="204"/>
      <c r="H19" s="205"/>
      <c r="I19" s="61"/>
      <c r="J19" s="61"/>
      <c r="K19" s="61"/>
      <c r="L19" s="61"/>
    </row>
    <row r="20" spans="1:12" ht="24.95" customHeight="1" x14ac:dyDescent="0.25">
      <c r="A20" s="57"/>
      <c r="B20" s="57"/>
      <c r="C20" s="57"/>
      <c r="D20" s="57"/>
      <c r="E20" s="64"/>
      <c r="F20" s="58"/>
      <c r="G20" s="204"/>
      <c r="H20" s="205"/>
      <c r="I20" s="61"/>
      <c r="J20" s="61"/>
      <c r="K20" s="61"/>
      <c r="L20" s="61"/>
    </row>
    <row r="21" spans="1:12" ht="24.95" customHeight="1" x14ac:dyDescent="0.25">
      <c r="A21" s="57"/>
      <c r="B21" s="57"/>
      <c r="C21" s="57"/>
      <c r="D21" s="57"/>
      <c r="E21" s="64"/>
      <c r="F21" s="58"/>
      <c r="G21" s="204"/>
      <c r="H21" s="205"/>
      <c r="I21" s="61"/>
      <c r="J21" s="61"/>
      <c r="K21" s="61"/>
      <c r="L21" s="61"/>
    </row>
    <row r="22" spans="1:12" ht="24.95" customHeight="1" x14ac:dyDescent="0.25">
      <c r="A22" s="57"/>
      <c r="B22" s="57"/>
      <c r="C22" s="57"/>
      <c r="D22" s="57"/>
      <c r="E22" s="64"/>
      <c r="F22" s="58"/>
      <c r="G22" s="204"/>
      <c r="H22" s="205"/>
      <c r="I22" s="61"/>
      <c r="J22" s="61"/>
      <c r="K22" s="61"/>
      <c r="L22" s="61"/>
    </row>
    <row r="23" spans="1:12" ht="24.95" customHeight="1" x14ac:dyDescent="0.25">
      <c r="A23" s="57"/>
      <c r="B23" s="57"/>
      <c r="C23" s="57"/>
      <c r="D23" s="57"/>
      <c r="E23" s="64"/>
      <c r="F23" s="58"/>
      <c r="G23" s="204"/>
      <c r="H23" s="205"/>
      <c r="I23" s="61"/>
      <c r="J23" s="61"/>
      <c r="K23" s="61"/>
      <c r="L23" s="61"/>
    </row>
    <row r="24" spans="1:12" ht="24.95" customHeight="1" x14ac:dyDescent="0.25">
      <c r="A24" s="57"/>
      <c r="B24" s="57"/>
      <c r="C24" s="57"/>
      <c r="D24" s="57"/>
      <c r="E24" s="64"/>
      <c r="F24" s="58"/>
      <c r="G24" s="204"/>
      <c r="H24" s="205"/>
      <c r="I24" s="61"/>
      <c r="J24" s="61"/>
      <c r="K24" s="61"/>
      <c r="L24" s="61"/>
    </row>
    <row r="25" spans="1:12" ht="24.95" customHeight="1" x14ac:dyDescent="0.25">
      <c r="A25" s="57"/>
      <c r="B25" s="57"/>
      <c r="C25" s="57"/>
      <c r="D25" s="57"/>
      <c r="E25" s="64"/>
      <c r="F25" s="58"/>
      <c r="G25" s="204"/>
      <c r="H25" s="205"/>
      <c r="I25" s="61"/>
      <c r="J25" s="61"/>
      <c r="K25" s="61"/>
      <c r="L25" s="61"/>
    </row>
    <row r="26" spans="1:12" ht="24.95" customHeight="1" x14ac:dyDescent="0.25">
      <c r="A26" s="57"/>
      <c r="B26" s="57"/>
      <c r="C26" s="57"/>
      <c r="D26" s="57"/>
      <c r="E26" s="64"/>
      <c r="F26" s="58"/>
      <c r="G26" s="204"/>
      <c r="H26" s="205"/>
      <c r="I26" s="61"/>
      <c r="J26" s="61"/>
      <c r="K26" s="61"/>
      <c r="L26" s="61"/>
    </row>
    <row r="27" spans="1:12" ht="24.95" customHeight="1" x14ac:dyDescent="0.25">
      <c r="A27" s="57"/>
      <c r="B27" s="57"/>
      <c r="C27" s="57"/>
      <c r="D27" s="57"/>
      <c r="E27" s="64"/>
      <c r="F27" s="58"/>
      <c r="G27" s="204"/>
      <c r="H27" s="205"/>
      <c r="I27" s="61"/>
      <c r="J27" s="61"/>
      <c r="K27" s="61"/>
      <c r="L27" s="61"/>
    </row>
    <row r="28" spans="1:12" ht="24.95" customHeight="1" x14ac:dyDescent="0.25">
      <c r="A28" s="57"/>
      <c r="B28" s="57"/>
      <c r="C28" s="57"/>
      <c r="D28" s="57"/>
      <c r="E28" s="64"/>
      <c r="F28" s="58"/>
      <c r="G28" s="204"/>
      <c r="H28" s="205"/>
      <c r="I28" s="61"/>
      <c r="J28" s="61"/>
      <c r="K28" s="61"/>
      <c r="L28" s="61"/>
    </row>
    <row r="29" spans="1:12" ht="24.95" customHeight="1" x14ac:dyDescent="0.25">
      <c r="A29" s="57"/>
      <c r="B29" s="57"/>
      <c r="C29" s="57"/>
      <c r="D29" s="57"/>
      <c r="E29" s="64"/>
      <c r="F29" s="58"/>
      <c r="G29" s="204"/>
      <c r="H29" s="205"/>
      <c r="I29" s="61"/>
      <c r="J29" s="61"/>
      <c r="K29" s="61"/>
      <c r="L29" s="61"/>
    </row>
  </sheetData>
  <conditionalFormatting sqref="I2:L29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">
    <tabColor rgb="FFFFFF00"/>
  </sheetPr>
  <dimension ref="A1:BF51"/>
  <sheetViews>
    <sheetView topLeftCell="A6" workbookViewId="0">
      <selection activeCell="E59" sqref="E59"/>
    </sheetView>
  </sheetViews>
  <sheetFormatPr defaultColWidth="9.140625" defaultRowHeight="15" outlineLevelCol="1" x14ac:dyDescent="0.25"/>
  <cols>
    <col min="1" max="1" width="13" style="29" customWidth="1"/>
    <col min="2" max="2" width="15.7109375" style="29" customWidth="1"/>
    <col min="3" max="3" width="12.7109375" style="29" customWidth="1"/>
    <col min="4" max="4" width="23.85546875" style="29" customWidth="1"/>
    <col min="5" max="5" width="25.28515625" style="29" customWidth="1"/>
    <col min="6" max="11" width="8.42578125" style="29" customWidth="1"/>
    <col min="12" max="12" width="10.140625" style="29" customWidth="1"/>
    <col min="13" max="13" width="40.42578125" style="29" customWidth="1"/>
    <col min="14" max="14" width="31.42578125" style="29" hidden="1" customWidth="1" outlineLevel="1"/>
    <col min="15" max="15" width="35.5703125" style="29" hidden="1" customWidth="1" outlineLevel="1"/>
    <col min="16" max="21" width="14.28515625" style="29" hidden="1" customWidth="1" outlineLevel="1"/>
    <col min="22" max="22" width="9.85546875" style="29" hidden="1" customWidth="1" outlineLevel="1"/>
    <col min="23" max="37" width="14.28515625" style="29" hidden="1" customWidth="1" outlineLevel="1"/>
    <col min="38" max="38" width="14.28515625" style="29" customWidth="1" collapsed="1"/>
    <col min="39" max="39" width="24.28515625" style="29" customWidth="1"/>
    <col min="40" max="40" width="66.42578125" style="29" hidden="1" customWidth="1"/>
    <col min="41" max="41" width="57.7109375" style="29" customWidth="1"/>
    <col min="42" max="42" width="22.85546875" style="29" hidden="1" customWidth="1"/>
    <col min="43" max="43" width="9.140625" style="29" hidden="1" customWidth="1"/>
    <col min="44" max="44" width="12.28515625" style="29" customWidth="1"/>
    <col min="45" max="45" width="8.85546875" style="29" customWidth="1"/>
    <col min="46" max="46" width="9.28515625" style="29" customWidth="1"/>
    <col min="47" max="47" width="20.7109375" style="29" customWidth="1"/>
    <col min="48" max="48" width="8.28515625" style="29" customWidth="1"/>
    <col min="49" max="49" width="7.5703125" style="29" customWidth="1"/>
    <col min="50" max="50" width="9.140625" style="29"/>
    <col min="51" max="51" width="25.42578125" style="29" customWidth="1"/>
    <col min="52" max="52" width="8.7109375" style="29" customWidth="1"/>
    <col min="53" max="55" width="9.140625" style="29"/>
    <col min="56" max="56" width="29" style="29" customWidth="1"/>
    <col min="57" max="57" width="19.140625" style="29" customWidth="1"/>
    <col min="58" max="58" width="18.28515625" style="29" customWidth="1"/>
    <col min="59" max="59" width="9.140625" style="29" customWidth="1"/>
    <col min="60" max="16384" width="9.140625" style="29"/>
  </cols>
  <sheetData>
    <row r="1" spans="1:58" ht="32.25" customHeight="1" x14ac:dyDescent="0.25">
      <c r="B1" s="56" t="str">
        <f ca="1">MID(CELL("ИМЯФАЙЛА",A1),SEARCH("]",CELL("ИМЯФАЙЛА",A1))+1,255)</f>
        <v>аб1</v>
      </c>
      <c r="C1" s="35" t="e">
        <f ca="1">VLOOKUP(B1,ИД!D2:R238,2,FALSE)</f>
        <v>#N/A</v>
      </c>
      <c r="D1" s="37"/>
      <c r="E1" s="36"/>
      <c r="O1" s="29" t="e">
        <f ca="1">TRIM(RIGHT(SUBSTITUTE(E3,",",REPT(" ",5)),5))</f>
        <v>#N/A</v>
      </c>
    </row>
    <row r="2" spans="1:58" ht="45.6" customHeight="1" x14ac:dyDescent="0.4">
      <c r="B2" s="55" t="e">
        <f ca="1">IF(N2=1,"федеральной",IF(N2=2,"региональной",IF(N2=3,"местной",IF(N2=4,"частной",IF(N2=5,"лесной","ведомственной")))))</f>
        <v>#N/A</v>
      </c>
      <c r="C2" s="194" t="s">
        <v>82</v>
      </c>
      <c r="D2" s="194"/>
      <c r="E2" s="32" t="s">
        <v>154</v>
      </c>
      <c r="F2" s="30"/>
      <c r="G2" s="195" t="s">
        <v>85</v>
      </c>
      <c r="H2" s="195"/>
      <c r="I2" s="195"/>
      <c r="J2" s="195"/>
      <c r="K2" s="196" t="e">
        <f>ROUND(SUM(AQ12:AQ51)/(SUM(C12:C51)-E4),1)</f>
        <v>#DIV/0!</v>
      </c>
      <c r="L2" s="196"/>
      <c r="N2" s="31" t="e">
        <f ca="1">VLOOKUP(B1,ИД!D2:R238,12,FALSE)</f>
        <v>#N/A</v>
      </c>
      <c r="O2" s="29" t="e">
        <f ca="1">LOWER(LEFT(C1,1))&amp;RIGHT(C1,LEN(C1)-1)</f>
        <v>#N/A</v>
      </c>
      <c r="AM2" s="190" t="e">
        <f>CONCATENATE(Лист1!B94,K2,Лист1!B95,K4,Лист1!B96,O3)</f>
        <v>#DIV/0!</v>
      </c>
      <c r="AN2" s="190"/>
      <c r="AO2" s="190"/>
    </row>
    <row r="3" spans="1:58" ht="46.15" customHeight="1" x14ac:dyDescent="0.4">
      <c r="B3" s="55" t="s">
        <v>134</v>
      </c>
      <c r="C3" s="197" t="s">
        <v>83</v>
      </c>
      <c r="D3" s="197"/>
      <c r="E3" s="59" t="e">
        <f ca="1">VLOOKUP(B1,ИД!D2:R238,3,FALSE)</f>
        <v>#N/A</v>
      </c>
      <c r="G3" s="192" t="s">
        <v>90</v>
      </c>
      <c r="H3" s="192"/>
      <c r="I3" s="192"/>
      <c r="J3" s="192"/>
      <c r="K3" s="198">
        <f>SUMIF(C12:C51,"&gt;0")</f>
        <v>0</v>
      </c>
      <c r="L3" s="198"/>
      <c r="N3" s="31" t="e">
        <f ca="1">VLOOKUP(O1,Лист1!A75:C81,2,FALSE)</f>
        <v>#N/A</v>
      </c>
      <c r="O3" s="29" t="e">
        <f>IF(4&lt;K2,Лист1!B88,IF(3&lt;K2,Лист1!B89,IF(2&lt;K2,Лист1!B90,Лист1!B91)))</f>
        <v>#DIV/0!</v>
      </c>
      <c r="AM3" s="190"/>
      <c r="AN3" s="190"/>
      <c r="AO3" s="190"/>
      <c r="AU3" s="53" t="s">
        <v>133</v>
      </c>
    </row>
    <row r="4" spans="1:58" ht="26.25" x14ac:dyDescent="0.4">
      <c r="B4" s="55" t="e">
        <f ca="1">VLOOKUP(B1,ИД!D2:R238,9,FALSE)</f>
        <v>#N/A</v>
      </c>
      <c r="C4" s="191" t="s">
        <v>86</v>
      </c>
      <c r="D4" s="191"/>
      <c r="E4" s="32">
        <v>0</v>
      </c>
      <c r="G4" s="192" t="s">
        <v>118</v>
      </c>
      <c r="H4" s="192"/>
      <c r="I4" s="192"/>
      <c r="J4" s="192"/>
      <c r="K4" s="193" t="e">
        <f>ROUND(0.5+K2/10,2)</f>
        <v>#DIV/0!</v>
      </c>
      <c r="L4" s="193"/>
      <c r="N4" s="31" t="e">
        <f ca="1">VLOOKUP(O1,Лист1!A75:C81,3,FALSE)</f>
        <v>#N/A</v>
      </c>
      <c r="AM4" s="190"/>
      <c r="AN4" s="190"/>
      <c r="AO4" s="190"/>
    </row>
    <row r="5" spans="1:58" ht="27" thickBot="1" x14ac:dyDescent="0.45">
      <c r="B5" s="55" t="e">
        <f ca="1">VLOOKUP(B1,ИД!D2:R238,4,FALSE)</f>
        <v>#N/A</v>
      </c>
      <c r="C5" s="191" t="s">
        <v>94</v>
      </c>
      <c r="D5" s="191"/>
      <c r="E5" s="32">
        <v>0</v>
      </c>
      <c r="G5" s="199" t="s">
        <v>88</v>
      </c>
      <c r="H5" s="199"/>
      <c r="I5" s="199"/>
      <c r="J5" s="199"/>
      <c r="K5" s="200" t="e">
        <f ca="1">VLOOKUP(B1,ИД!D2:R238,10,FALSE)</f>
        <v>#N/A</v>
      </c>
      <c r="L5" s="200"/>
      <c r="N5" s="29" t="s">
        <v>134</v>
      </c>
      <c r="O5" s="29" t="e">
        <f ca="1">"Маршрут № "&amp;B1&amp;" представляет собой участок "&amp;B2&amp;" автомобильной дороги «"&amp;C1&amp;"», который начинается от "&amp;D6&amp;" и следует до "&amp;D7&amp;"."</f>
        <v>#N/A</v>
      </c>
      <c r="AM5" s="48"/>
      <c r="AN5" s="48"/>
      <c r="AO5" s="48"/>
    </row>
    <row r="6" spans="1:58" ht="26.25" x14ac:dyDescent="0.4">
      <c r="B6" s="55" t="e">
        <f ca="1">VLOOKUP(B1,ИД!D2:R238,8,FALSE)</f>
        <v>#N/A</v>
      </c>
      <c r="C6" s="51" t="s">
        <v>126</v>
      </c>
      <c r="D6" s="181" t="e">
        <f ca="1">VLOOKUP(B1,ИД!D2:R238,14,FALSE)</f>
        <v>#N/A</v>
      </c>
      <c r="E6" s="182"/>
      <c r="G6" s="49"/>
      <c r="H6" s="49"/>
      <c r="I6" s="49"/>
      <c r="J6" s="49"/>
      <c r="K6" s="50"/>
      <c r="L6" s="50"/>
      <c r="N6" s="29" t="s">
        <v>136</v>
      </c>
      <c r="O6" s="29" t="e">
        <f ca="1">"Маршрут № "&amp;B1&amp;" представляет собой участок  "&amp;C1&amp;", который начинается от "&amp;D6&amp;" и следует до "&amp;D7&amp;"."</f>
        <v>#N/A</v>
      </c>
      <c r="AM6" s="183" t="e">
        <f ca="1">VLOOKUP(B3,N5:O7,2,FALSE)</f>
        <v>#N/A</v>
      </c>
      <c r="AN6" s="184"/>
      <c r="AO6" s="185"/>
    </row>
    <row r="7" spans="1:58" ht="27" thickBot="1" x14ac:dyDescent="0.45">
      <c r="B7" s="55" t="e">
        <f ca="1">VLOOKUP(B1,ИД!D2:R238,11,FALSE)</f>
        <v>#N/A</v>
      </c>
      <c r="C7" s="51" t="s">
        <v>127</v>
      </c>
      <c r="D7" s="189" t="e">
        <f ca="1">VLOOKUP(B1,ИД!D2:R238,15,FALSE)</f>
        <v>#N/A</v>
      </c>
      <c r="E7" s="189"/>
      <c r="G7" s="49"/>
      <c r="H7" s="49"/>
      <c r="I7" s="49"/>
      <c r="J7" s="49"/>
      <c r="K7" s="50"/>
      <c r="L7" s="50"/>
      <c r="N7" s="29" t="s">
        <v>135</v>
      </c>
      <c r="O7" s="29" t="e">
        <f ca="1">"Маршрут № "&amp;B1&amp;" представляет собой "&amp;LOWER(LEFT(C1,1))&amp;RIGHT(C1,LEN(C1)-1)&amp;" от "&amp;D6&amp;"."</f>
        <v>#N/A</v>
      </c>
      <c r="AM7" s="186"/>
      <c r="AN7" s="187"/>
      <c r="AO7" s="188"/>
    </row>
    <row r="9" spans="1:58" x14ac:dyDescent="0.25">
      <c r="B9" s="102" t="e">
        <f ca="1">HYPERLINK("#ИД!D"&amp;MATCH(B1, ИД!D:D, 0), "На лист ИД!")</f>
        <v>#N/A</v>
      </c>
      <c r="D9" s="101"/>
      <c r="O9" s="29" t="s">
        <v>161</v>
      </c>
    </row>
    <row r="11" spans="1:58" ht="42" customHeight="1" x14ac:dyDescent="0.25">
      <c r="A11"/>
      <c r="B11" s="103"/>
      <c r="C11" s="104"/>
      <c r="D11" s="78" t="s">
        <v>189</v>
      </c>
      <c r="E11" s="78" t="s">
        <v>190</v>
      </c>
      <c r="F11"/>
      <c r="G11"/>
      <c r="H11"/>
      <c r="I11"/>
      <c r="J11"/>
      <c r="K11"/>
      <c r="L11"/>
      <c r="M11" s="62" t="s">
        <v>159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f>E5</f>
        <v>0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pans="1:58" ht="16.5" x14ac:dyDescent="0.25">
      <c r="A12" s="105">
        <v>0</v>
      </c>
      <c r="B12" s="105">
        <v>0</v>
      </c>
      <c r="C12" s="106">
        <f>B12-A12</f>
        <v>0</v>
      </c>
      <c r="D12" s="107"/>
      <c r="E12" s="108"/>
      <c r="F12" s="108"/>
      <c r="G12" s="108"/>
      <c r="H12" s="108"/>
      <c r="I12" s="108"/>
      <c r="J12" s="108"/>
      <c r="K12" s="108"/>
      <c r="L12" s="108"/>
      <c r="M12" s="109"/>
      <c r="N12" s="110" t="str">
        <f>IFERROR(VLOOKUP($F12,Лист1!$A$4:$F$72,2,FALSE),"")</f>
        <v/>
      </c>
      <c r="O12" s="110" t="str">
        <f>IFERROR(VLOOKUP($G12,Лист1!$A$4:$F$72,2,FALSE),"")</f>
        <v/>
      </c>
      <c r="P12" s="110" t="str">
        <f>IFERROR(VLOOKUP($H12,Лист1!$A$4:$F$72,2,FALSE),"")</f>
        <v/>
      </c>
      <c r="Q12" s="110" t="str">
        <f>IFERROR(VLOOKUP($I12,Лист1!$A$4:$F$72,2,FALSE),"")</f>
        <v/>
      </c>
      <c r="R12" s="110" t="str">
        <f>IFERROR(VLOOKUP($J12,Лист1!$A$4:$F$72,2,FALSE),"")</f>
        <v/>
      </c>
      <c r="S12" s="110" t="str">
        <f>IFERROR(VLOOKUP($K12,Лист1!$A$4:$F$72,2,FALSE),"")</f>
        <v/>
      </c>
      <c r="T12" s="110" t="str">
        <f>IFERROR(VLOOKUP($L12,Лист1!$A$4:$F$72,2,FALSE),"")</f>
        <v/>
      </c>
      <c r="U12" s="110" t="str">
        <f t="shared" ref="U12:U43" si="0">IF(ISBLANK($M12),"",$M12)</f>
        <v/>
      </c>
      <c r="V12" s="111" t="str">
        <f>IFERROR(VLOOKUP($F12,Лист1!$A$4:$F$72,3,FALSE),"")</f>
        <v/>
      </c>
      <c r="W12" s="111" t="str">
        <f>IFERROR(VLOOKUP($G12,Лист1!$A$4:$F$72,3,FALSE),"")</f>
        <v/>
      </c>
      <c r="X12" s="111" t="str">
        <f>IFERROR(VLOOKUP($H12,Лист1!$A$4:$F$72,3,FALSE),"")</f>
        <v/>
      </c>
      <c r="Y12" s="111" t="str">
        <f>IFERROR(VLOOKUP($I12,Лист1!$A$4:$F$72,3,FALSE),"")</f>
        <v/>
      </c>
      <c r="Z12" s="111" t="str">
        <f>IFERROR(VLOOKUP($J12,Лист1!$A$4:$F$72,3,FALSE),"")</f>
        <v/>
      </c>
      <c r="AA12" s="111" t="str">
        <f>IFERROR(VLOOKUP($K12,Лист1!$A$4:$F$72,3,FALSE),"")</f>
        <v/>
      </c>
      <c r="AB12" s="111" t="str">
        <f>IFERROR(VLOOKUP($L12,Лист1!$A$4:$F$72,3,FALSE),"")</f>
        <v/>
      </c>
      <c r="AC12" s="111" t="str">
        <f>IFERROR(VLOOKUP($M12,Лист1!$A$4:$F$72,3,FALSE),"")</f>
        <v/>
      </c>
      <c r="AD12" s="112">
        <f t="shared" ref="AD12:AD25" si="1">ROUND(AE11,3)</f>
        <v>0</v>
      </c>
      <c r="AE12" s="113">
        <f t="shared" ref="AE12:AE25" si="2">ROUND(AD12+C12,3)</f>
        <v>0</v>
      </c>
      <c r="AF12" s="114">
        <f t="shared" ref="AF12:AF17" si="3">ROUND(ROUNDDOWN(AD12,0),0)</f>
        <v>0</v>
      </c>
      <c r="AG12" s="114">
        <f t="shared" ref="AG12:AG17" si="4">ROUND((AD12-AF12)*1000,0)</f>
        <v>0</v>
      </c>
      <c r="AH12" s="114">
        <f t="shared" ref="AH12:AH17" si="5">ROUND(ROUNDDOWN(AE12,0),0)</f>
        <v>0</v>
      </c>
      <c r="AI12" s="115">
        <f t="shared" ref="AI12:AI17" si="6">ROUND((AE12-AH12)*1000,0)</f>
        <v>0</v>
      </c>
      <c r="AJ12" s="116" t="str">
        <f t="shared" ref="AJ12:AJ43" si="7">IF($AG12=0,"000",$AG12)</f>
        <v>000</v>
      </c>
      <c r="AK12" s="116" t="str">
        <f t="shared" ref="AK12:AK43" si="8">IF($AI12=0,"000",$AI12)</f>
        <v>000</v>
      </c>
      <c r="AL12" s="117"/>
      <c r="AM12" s="118" t="str">
        <f t="shared" ref="AM12:AM17" si="9">CONCATENATE("км ",AF12,"+",AJ12," - км ",AH12,"+",AK12)</f>
        <v>км 0+000 - км 0+000</v>
      </c>
      <c r="AN12" s="119" t="str">
        <f t="shared" ref="AN12:AN43" si="10">IF(ISBLANK($M12),N12&amp;O12&amp;P12&amp;Q12&amp;R12&amp;S12&amp;T12&amp;U12,N12&amp;O12&amp;P12&amp;Q12&amp;R12&amp;S12&amp;T12&amp;U12&amp;";")</f>
        <v/>
      </c>
      <c r="AO12" s="119" t="e">
        <f t="shared" ref="AO12:AO43" si="11">UPPER(LEFT($AN12,1))&amp;RIGHT(LOWER($AN12),LEN($AN12)-1)</f>
        <v>#VALUE!</v>
      </c>
      <c r="AP12" s="120">
        <f>MIN(V12:AC12)</f>
        <v>0</v>
      </c>
      <c r="AQ12" s="115">
        <f>AP12*$C12</f>
        <v>0</v>
      </c>
      <c r="AR12" s="121"/>
      <c r="AS12" s="122">
        <f t="shared" ref="AS12:AT14" si="12">AD12</f>
        <v>0</v>
      </c>
      <c r="AT12" s="122">
        <f t="shared" si="12"/>
        <v>0</v>
      </c>
      <c r="AU12" s="123">
        <f t="shared" ref="AU12:AU25" si="13">E12</f>
        <v>0</v>
      </c>
      <c r="AV12" s="124">
        <f t="shared" ref="AV12:AV25" si="14">D12</f>
        <v>0</v>
      </c>
      <c r="AW12" s="124" t="str">
        <f t="shared" ref="AW12:AW25" si="15">IF(AP12=0,"-",AP12)</f>
        <v>-</v>
      </c>
      <c r="AX12" s="125"/>
      <c r="AY12" s="122" t="str">
        <f t="shared" ref="AY12:AY43" si="16">$AM12</f>
        <v>км 0+000 - км 0+000</v>
      </c>
      <c r="AZ12" s="124" t="str">
        <f t="shared" ref="AZ12:AZ43" si="17">$AW12</f>
        <v>-</v>
      </c>
      <c r="BA12" s="126">
        <f t="shared" ref="BA12:BA43" si="18">$BE12</f>
        <v>0.5</v>
      </c>
      <c r="BB12" s="125"/>
      <c r="BC12" s="127"/>
      <c r="BD12" s="123" t="str">
        <f t="shared" ref="BD12:BD43" si="19">$AM12</f>
        <v>км 0+000 - км 0+000</v>
      </c>
      <c r="BE12" s="126">
        <f t="shared" ref="BE12:BE43" si="20">ROUND(1-((5-$AP12)/10),2)</f>
        <v>0.5</v>
      </c>
      <c r="BF12" s="128" t="e">
        <f t="shared" ref="BF12:BF17" ca="1" si="21">ROUND(BE12*$N$4,0)</f>
        <v>#N/A</v>
      </c>
    </row>
    <row r="13" spans="1:58" ht="16.5" x14ac:dyDescent="0.25">
      <c r="A13" s="105">
        <f>B12</f>
        <v>0</v>
      </c>
      <c r="B13" s="105"/>
      <c r="C13" s="106">
        <f t="shared" ref="C13:C51" si="22">B13-A13</f>
        <v>0</v>
      </c>
      <c r="D13" s="107"/>
      <c r="E13" s="108"/>
      <c r="F13" s="108"/>
      <c r="G13" s="108"/>
      <c r="H13" s="108"/>
      <c r="I13" s="108"/>
      <c r="J13" s="108"/>
      <c r="K13" s="108"/>
      <c r="L13" s="108"/>
      <c r="M13" s="109"/>
      <c r="N13" s="110" t="str">
        <f>IFERROR(VLOOKUP($F13,Лист1!$A$4:$F$72,2,FALSE),"")</f>
        <v/>
      </c>
      <c r="O13" s="110" t="str">
        <f>IFERROR(VLOOKUP($G13,Лист1!$A$4:$F$72,2,FALSE),"")</f>
        <v/>
      </c>
      <c r="P13" s="110" t="str">
        <f>IFERROR(VLOOKUP($H13,Лист1!$A$4:$F$72,2,FALSE),"")</f>
        <v/>
      </c>
      <c r="Q13" s="110" t="str">
        <f>IFERROR(VLOOKUP($I13,Лист1!$A$4:$F$72,2,FALSE),"")</f>
        <v/>
      </c>
      <c r="R13" s="110" t="str">
        <f>IFERROR(VLOOKUP($J13,Лист1!$A$4:$F$72,2,FALSE),"")</f>
        <v/>
      </c>
      <c r="S13" s="110" t="str">
        <f>IFERROR(VLOOKUP($K13,Лист1!$A$4:$F$72,2,FALSE),"")</f>
        <v/>
      </c>
      <c r="T13" s="110" t="str">
        <f>IFERROR(VLOOKUP($L13,Лист1!$A$4:$F$72,2,FALSE),"")</f>
        <v/>
      </c>
      <c r="U13" s="110" t="str">
        <f t="shared" si="0"/>
        <v/>
      </c>
      <c r="V13" s="111" t="str">
        <f>IFERROR(VLOOKUP($F13,Лист1!$A$4:$F$72,3,FALSE),"")</f>
        <v/>
      </c>
      <c r="W13" s="111" t="str">
        <f>IFERROR(VLOOKUP($G13,Лист1!$A$4:$F$72,3,FALSE),"")</f>
        <v/>
      </c>
      <c r="X13" s="111" t="str">
        <f>IFERROR(VLOOKUP($H13,Лист1!$A$4:$F$72,3,FALSE),"")</f>
        <v/>
      </c>
      <c r="Y13" s="111" t="str">
        <f>IFERROR(VLOOKUP($I13,Лист1!$A$4:$F$72,3,FALSE),"")</f>
        <v/>
      </c>
      <c r="Z13" s="111" t="str">
        <f>IFERROR(VLOOKUP($J13,Лист1!$A$4:$F$72,3,FALSE),"")</f>
        <v/>
      </c>
      <c r="AA13" s="111" t="str">
        <f>IFERROR(VLOOKUP($K13,Лист1!$A$4:$F$72,3,FALSE),"")</f>
        <v/>
      </c>
      <c r="AB13" s="111" t="str">
        <f>IFERROR(VLOOKUP($L13,Лист1!$A$4:$F$72,3,FALSE),"")</f>
        <v/>
      </c>
      <c r="AC13" s="111" t="str">
        <f>IFERROR(VLOOKUP($M13,Лист1!$A$4:$F$72,3,FALSE),"")</f>
        <v/>
      </c>
      <c r="AD13" s="129">
        <f t="shared" si="1"/>
        <v>0</v>
      </c>
      <c r="AE13" s="130">
        <f t="shared" si="2"/>
        <v>0</v>
      </c>
      <c r="AF13" s="131">
        <f t="shared" si="3"/>
        <v>0</v>
      </c>
      <c r="AG13" s="131">
        <f t="shared" si="4"/>
        <v>0</v>
      </c>
      <c r="AH13" s="131">
        <f t="shared" si="5"/>
        <v>0</v>
      </c>
      <c r="AI13" s="132">
        <f t="shared" si="6"/>
        <v>0</v>
      </c>
      <c r="AJ13" s="133" t="str">
        <f t="shared" si="7"/>
        <v>000</v>
      </c>
      <c r="AK13" s="133" t="str">
        <f t="shared" si="8"/>
        <v>000</v>
      </c>
      <c r="AL13" s="117"/>
      <c r="AM13" s="134" t="str">
        <f t="shared" si="9"/>
        <v>км 0+000 - км 0+000</v>
      </c>
      <c r="AN13" s="135" t="str">
        <f t="shared" si="10"/>
        <v/>
      </c>
      <c r="AO13" s="135" t="e">
        <f t="shared" si="11"/>
        <v>#VALUE!</v>
      </c>
      <c r="AP13" s="136">
        <f>MIN(V13:AC13)</f>
        <v>0</v>
      </c>
      <c r="AQ13" s="132">
        <f>AP13*C13</f>
        <v>0</v>
      </c>
      <c r="AR13" s="121"/>
      <c r="AS13" s="137">
        <f t="shared" si="12"/>
        <v>0</v>
      </c>
      <c r="AT13" s="137">
        <f t="shared" si="12"/>
        <v>0</v>
      </c>
      <c r="AU13" s="138">
        <f t="shared" si="13"/>
        <v>0</v>
      </c>
      <c r="AV13" s="139">
        <f t="shared" si="14"/>
        <v>0</v>
      </c>
      <c r="AW13" s="139" t="str">
        <f t="shared" si="15"/>
        <v>-</v>
      </c>
      <c r="AX13" s="125"/>
      <c r="AY13" s="137" t="str">
        <f t="shared" si="16"/>
        <v>км 0+000 - км 0+000</v>
      </c>
      <c r="AZ13" s="139" t="str">
        <f t="shared" si="17"/>
        <v>-</v>
      </c>
      <c r="BA13" s="140">
        <f t="shared" si="18"/>
        <v>0.5</v>
      </c>
      <c r="BB13" s="125"/>
      <c r="BC13" s="127"/>
      <c r="BD13" s="138" t="str">
        <f t="shared" si="19"/>
        <v>км 0+000 - км 0+000</v>
      </c>
      <c r="BE13" s="140">
        <f t="shared" si="20"/>
        <v>0.5</v>
      </c>
      <c r="BF13" s="141" t="e">
        <f t="shared" ca="1" si="21"/>
        <v>#N/A</v>
      </c>
    </row>
    <row r="14" spans="1:58" ht="16.5" x14ac:dyDescent="0.25">
      <c r="A14" s="105">
        <f t="shared" ref="A14:A51" si="23">B13</f>
        <v>0</v>
      </c>
      <c r="B14" s="105"/>
      <c r="C14" s="106">
        <f t="shared" si="22"/>
        <v>0</v>
      </c>
      <c r="D14" s="107"/>
      <c r="E14" s="108"/>
      <c r="F14" s="108"/>
      <c r="G14" s="108"/>
      <c r="H14" s="108"/>
      <c r="I14" s="108"/>
      <c r="J14" s="108"/>
      <c r="K14" s="108"/>
      <c r="L14" s="108"/>
      <c r="M14" s="109"/>
      <c r="N14" s="110" t="str">
        <f>IFERROR(VLOOKUP($F14,Лист1!$A$4:$F$72,2,FALSE),"")</f>
        <v/>
      </c>
      <c r="O14" s="110" t="str">
        <f>IFERROR(VLOOKUP($G14,Лист1!$A$4:$F$72,2,FALSE),"")</f>
        <v/>
      </c>
      <c r="P14" s="110" t="str">
        <f>IFERROR(VLOOKUP($H14,Лист1!$A$4:$F$72,2,FALSE),"")</f>
        <v/>
      </c>
      <c r="Q14" s="110" t="str">
        <f>IFERROR(VLOOKUP($I14,Лист1!$A$4:$F$72,2,FALSE),"")</f>
        <v/>
      </c>
      <c r="R14" s="110" t="str">
        <f>IFERROR(VLOOKUP($J14,Лист1!$A$4:$F$72,2,FALSE),"")</f>
        <v/>
      </c>
      <c r="S14" s="110" t="str">
        <f>IFERROR(VLOOKUP($K14,Лист1!$A$4:$F$72,2,FALSE),"")</f>
        <v/>
      </c>
      <c r="T14" s="110" t="str">
        <f>IFERROR(VLOOKUP($L14,Лист1!$A$4:$F$72,2,FALSE),"")</f>
        <v/>
      </c>
      <c r="U14" s="110" t="str">
        <f t="shared" si="0"/>
        <v/>
      </c>
      <c r="V14" s="111" t="str">
        <f>IFERROR(VLOOKUP($F14,Лист1!$A$4:$F$72,3,FALSE),"")</f>
        <v/>
      </c>
      <c r="W14" s="111" t="str">
        <f>IFERROR(VLOOKUP($G14,Лист1!$A$4:$F$72,3,FALSE),"")</f>
        <v/>
      </c>
      <c r="X14" s="111" t="str">
        <f>IFERROR(VLOOKUP($H14,Лист1!$A$4:$F$72,3,FALSE),"")</f>
        <v/>
      </c>
      <c r="Y14" s="111" t="str">
        <f>IFERROR(VLOOKUP($I14,Лист1!$A$4:$F$72,3,FALSE),"")</f>
        <v/>
      </c>
      <c r="Z14" s="111" t="str">
        <f>IFERROR(VLOOKUP($J14,Лист1!$A$4:$F$72,3,FALSE),"")</f>
        <v/>
      </c>
      <c r="AA14" s="111" t="str">
        <f>IFERROR(VLOOKUP($K14,Лист1!$A$4:$F$72,3,FALSE),"")</f>
        <v/>
      </c>
      <c r="AB14" s="111" t="str">
        <f>IFERROR(VLOOKUP($L14,Лист1!$A$4:$F$72,3,FALSE),"")</f>
        <v/>
      </c>
      <c r="AC14" s="111" t="str">
        <f>IFERROR(VLOOKUP($M14,Лист1!$A$4:$F$72,3,FALSE),"")</f>
        <v/>
      </c>
      <c r="AD14" s="112">
        <f t="shared" si="1"/>
        <v>0</v>
      </c>
      <c r="AE14" s="113">
        <f t="shared" si="2"/>
        <v>0</v>
      </c>
      <c r="AF14" s="114">
        <f t="shared" si="3"/>
        <v>0</v>
      </c>
      <c r="AG14" s="114">
        <f t="shared" si="4"/>
        <v>0</v>
      </c>
      <c r="AH14" s="114">
        <f t="shared" si="5"/>
        <v>0</v>
      </c>
      <c r="AI14" s="115">
        <f t="shared" si="6"/>
        <v>0</v>
      </c>
      <c r="AJ14" s="116" t="str">
        <f t="shared" si="7"/>
        <v>000</v>
      </c>
      <c r="AK14" s="116" t="str">
        <f t="shared" si="8"/>
        <v>000</v>
      </c>
      <c r="AL14" s="117"/>
      <c r="AM14" s="118" t="str">
        <f t="shared" si="9"/>
        <v>км 0+000 - км 0+000</v>
      </c>
      <c r="AN14" s="119" t="str">
        <f t="shared" si="10"/>
        <v/>
      </c>
      <c r="AO14" s="119" t="e">
        <f t="shared" si="11"/>
        <v>#VALUE!</v>
      </c>
      <c r="AP14" s="120">
        <f>MIN(V14:AC14)</f>
        <v>0</v>
      </c>
      <c r="AQ14" s="115">
        <f>AP14*C14</f>
        <v>0</v>
      </c>
      <c r="AR14" s="121"/>
      <c r="AS14" s="122">
        <f t="shared" si="12"/>
        <v>0</v>
      </c>
      <c r="AT14" s="122">
        <f t="shared" si="12"/>
        <v>0</v>
      </c>
      <c r="AU14" s="123">
        <f t="shared" si="13"/>
        <v>0</v>
      </c>
      <c r="AV14" s="124">
        <f t="shared" si="14"/>
        <v>0</v>
      </c>
      <c r="AW14" s="124" t="str">
        <f t="shared" si="15"/>
        <v>-</v>
      </c>
      <c r="AX14" s="125"/>
      <c r="AY14" s="122" t="str">
        <f t="shared" si="16"/>
        <v>км 0+000 - км 0+000</v>
      </c>
      <c r="AZ14" s="124" t="str">
        <f t="shared" si="17"/>
        <v>-</v>
      </c>
      <c r="BA14" s="126">
        <f t="shared" si="18"/>
        <v>0.5</v>
      </c>
      <c r="BB14" s="125"/>
      <c r="BC14" s="127"/>
      <c r="BD14" s="123" t="str">
        <f t="shared" si="19"/>
        <v>км 0+000 - км 0+000</v>
      </c>
      <c r="BE14" s="126">
        <f t="shared" si="20"/>
        <v>0.5</v>
      </c>
      <c r="BF14" s="128" t="e">
        <f t="shared" ca="1" si="21"/>
        <v>#N/A</v>
      </c>
    </row>
    <row r="15" spans="1:58" ht="16.5" x14ac:dyDescent="0.25">
      <c r="A15" s="105">
        <f t="shared" si="23"/>
        <v>0</v>
      </c>
      <c r="B15" s="105"/>
      <c r="C15" s="106">
        <f t="shared" si="22"/>
        <v>0</v>
      </c>
      <c r="D15" s="107"/>
      <c r="E15" s="108"/>
      <c r="F15" s="108"/>
      <c r="G15" s="108"/>
      <c r="H15" s="108"/>
      <c r="I15" s="108"/>
      <c r="J15" s="108"/>
      <c r="K15" s="108"/>
      <c r="L15" s="108"/>
      <c r="M15" s="109"/>
      <c r="N15" s="142" t="str">
        <f>IFERROR(VLOOKUP($F15,Лист1!$A$4:$F$72,2,FALSE),"")</f>
        <v/>
      </c>
      <c r="O15" s="142" t="str">
        <f>IFERROR(VLOOKUP($G15,Лист1!$A$4:$F$72,2,FALSE),"")</f>
        <v/>
      </c>
      <c r="P15" s="110" t="str">
        <f>IFERROR(VLOOKUP($H15,Лист1!$A$4:$F$72,2,FALSE),"")</f>
        <v/>
      </c>
      <c r="Q15" s="110" t="str">
        <f>IFERROR(VLOOKUP($I15,Лист1!$A$4:$F$72,2,FALSE),"")</f>
        <v/>
      </c>
      <c r="R15" s="110" t="str">
        <f>IFERROR(VLOOKUP($J15,Лист1!$A$4:$F$72,2,FALSE),"")</f>
        <v/>
      </c>
      <c r="S15" s="110" t="str">
        <f>IFERROR(VLOOKUP($K15,Лист1!$A$4:$F$72,2,FALSE),"")</f>
        <v/>
      </c>
      <c r="T15" s="110" t="str">
        <f>IFERROR(VLOOKUP($L15,Лист1!$A$4:$F$72,2,FALSE),"")</f>
        <v/>
      </c>
      <c r="U15" s="110" t="str">
        <f t="shared" si="0"/>
        <v/>
      </c>
      <c r="V15" s="143" t="str">
        <f>IFERROR(VLOOKUP($F15,Лист1!$A$4:$F$72,3,FALSE),"")</f>
        <v/>
      </c>
      <c r="W15" s="111" t="str">
        <f>IFERROR(VLOOKUP($G15,Лист1!$A$4:$F$72,3,FALSE),"")</f>
        <v/>
      </c>
      <c r="X15" s="111" t="str">
        <f>IFERROR(VLOOKUP($H15,Лист1!$A$4:$F$72,3,FALSE),"")</f>
        <v/>
      </c>
      <c r="Y15" s="111" t="str">
        <f>IFERROR(VLOOKUP($I15,Лист1!$A$4:$F$72,3,FALSE),"")</f>
        <v/>
      </c>
      <c r="Z15" s="111" t="str">
        <f>IFERROR(VLOOKUP($J15,Лист1!$A$4:$F$72,3,FALSE),"")</f>
        <v/>
      </c>
      <c r="AA15" s="111" t="str">
        <f>IFERROR(VLOOKUP($K15,Лист1!$A$4:$F$72,3,FALSE),"")</f>
        <v/>
      </c>
      <c r="AB15" s="111" t="str">
        <f>IFERROR(VLOOKUP($L15,Лист1!$A$4:$F$72,3,FALSE),"")</f>
        <v/>
      </c>
      <c r="AC15" s="111" t="str">
        <f>IFERROR(VLOOKUP($M15,Лист1!$A$4:$F$72,3,FALSE),"")</f>
        <v/>
      </c>
      <c r="AD15" s="144">
        <f t="shared" si="1"/>
        <v>0</v>
      </c>
      <c r="AE15" s="130">
        <f t="shared" si="2"/>
        <v>0</v>
      </c>
      <c r="AF15" s="131">
        <f t="shared" si="3"/>
        <v>0</v>
      </c>
      <c r="AG15" s="131">
        <f t="shared" si="4"/>
        <v>0</v>
      </c>
      <c r="AH15" s="131">
        <f t="shared" si="5"/>
        <v>0</v>
      </c>
      <c r="AI15" s="133">
        <f t="shared" si="6"/>
        <v>0</v>
      </c>
      <c r="AJ15" s="133" t="str">
        <f t="shared" si="7"/>
        <v>000</v>
      </c>
      <c r="AK15" s="133" t="str">
        <f t="shared" si="8"/>
        <v>000</v>
      </c>
      <c r="AL15" s="117"/>
      <c r="AM15" s="134" t="str">
        <f t="shared" si="9"/>
        <v>км 0+000 - км 0+000</v>
      </c>
      <c r="AN15" s="135" t="str">
        <f t="shared" si="10"/>
        <v/>
      </c>
      <c r="AO15" s="145" t="e">
        <f t="shared" si="11"/>
        <v>#VALUE!</v>
      </c>
      <c r="AP15" s="136">
        <f t="shared" ref="AP15:AP20" si="24">MIN(V15:AC15)</f>
        <v>0</v>
      </c>
      <c r="AQ15" s="132">
        <f t="shared" ref="AQ15:AQ20" si="25">AP15*C15</f>
        <v>0</v>
      </c>
      <c r="AR15" s="121"/>
      <c r="AS15" s="137">
        <f t="shared" ref="AS15:AT17" si="26">AD15</f>
        <v>0</v>
      </c>
      <c r="AT15" s="137">
        <f t="shared" si="26"/>
        <v>0</v>
      </c>
      <c r="AU15" s="138">
        <f t="shared" si="13"/>
        <v>0</v>
      </c>
      <c r="AV15" s="139">
        <f t="shared" si="14"/>
        <v>0</v>
      </c>
      <c r="AW15" s="139" t="str">
        <f t="shared" si="15"/>
        <v>-</v>
      </c>
      <c r="AX15" s="125"/>
      <c r="AY15" s="137" t="str">
        <f t="shared" si="16"/>
        <v>км 0+000 - км 0+000</v>
      </c>
      <c r="AZ15" s="139" t="str">
        <f t="shared" si="17"/>
        <v>-</v>
      </c>
      <c r="BA15" s="140">
        <f t="shared" si="18"/>
        <v>0.5</v>
      </c>
      <c r="BB15" s="125"/>
      <c r="BC15" s="125"/>
      <c r="BD15" s="138" t="str">
        <f t="shared" si="19"/>
        <v>км 0+000 - км 0+000</v>
      </c>
      <c r="BE15" s="140">
        <f t="shared" si="20"/>
        <v>0.5</v>
      </c>
      <c r="BF15" s="146" t="e">
        <f t="shared" ca="1" si="21"/>
        <v>#N/A</v>
      </c>
    </row>
    <row r="16" spans="1:58" ht="16.5" x14ac:dyDescent="0.25">
      <c r="A16" s="105">
        <f t="shared" si="23"/>
        <v>0</v>
      </c>
      <c r="B16" s="105"/>
      <c r="C16" s="106">
        <f t="shared" si="22"/>
        <v>0</v>
      </c>
      <c r="D16" s="107"/>
      <c r="E16" s="108"/>
      <c r="F16" s="108"/>
      <c r="G16" s="108"/>
      <c r="H16" s="108"/>
      <c r="I16" s="108"/>
      <c r="J16" s="108"/>
      <c r="K16" s="108"/>
      <c r="L16" s="108"/>
      <c r="M16" s="109"/>
      <c r="N16" s="142" t="str">
        <f>IFERROR(VLOOKUP($F16,Лист1!$A$4:$F$72,2,FALSE),"")</f>
        <v/>
      </c>
      <c r="O16" s="142" t="str">
        <f>IFERROR(VLOOKUP($G16,Лист1!$A$4:$F$72,2,FALSE),"")</f>
        <v/>
      </c>
      <c r="P16" s="110" t="str">
        <f>IFERROR(VLOOKUP($H16,Лист1!$A$4:$F$72,2,FALSE),"")</f>
        <v/>
      </c>
      <c r="Q16" s="110" t="str">
        <f>IFERROR(VLOOKUP($I16,Лист1!$A$4:$F$72,2,FALSE),"")</f>
        <v/>
      </c>
      <c r="R16" s="110" t="str">
        <f>IFERROR(VLOOKUP($J16,Лист1!$A$4:$F$72,2,FALSE),"")</f>
        <v/>
      </c>
      <c r="S16" s="110" t="str">
        <f>IFERROR(VLOOKUP($K16,Лист1!$A$4:$F$72,2,FALSE),"")</f>
        <v/>
      </c>
      <c r="T16" s="110" t="str">
        <f>IFERROR(VLOOKUP($L16,Лист1!$A$4:$F$72,2,FALSE),"")</f>
        <v/>
      </c>
      <c r="U16" s="110" t="str">
        <f t="shared" si="0"/>
        <v/>
      </c>
      <c r="V16" s="143" t="str">
        <f>IFERROR(VLOOKUP($F16,Лист1!$A$4:$F$72,3,FALSE),"")</f>
        <v/>
      </c>
      <c r="W16" s="111" t="str">
        <f>IFERROR(VLOOKUP($G16,Лист1!$A$4:$F$72,3,FALSE),"")</f>
        <v/>
      </c>
      <c r="X16" s="111" t="str">
        <f>IFERROR(VLOOKUP($H16,Лист1!$A$4:$F$72,3,FALSE),"")</f>
        <v/>
      </c>
      <c r="Y16" s="111" t="str">
        <f>IFERROR(VLOOKUP($I16,Лист1!$A$4:$F$72,3,FALSE),"")</f>
        <v/>
      </c>
      <c r="Z16" s="111" t="str">
        <f>IFERROR(VLOOKUP($J16,Лист1!$A$4:$F$72,3,FALSE),"")</f>
        <v/>
      </c>
      <c r="AA16" s="111" t="str">
        <f>IFERROR(VLOOKUP($K16,Лист1!$A$4:$F$72,3,FALSE),"")</f>
        <v/>
      </c>
      <c r="AB16" s="111" t="str">
        <f>IFERROR(VLOOKUP($L16,Лист1!$A$4:$F$72,3,FALSE),"")</f>
        <v/>
      </c>
      <c r="AC16" s="111" t="str">
        <f>IFERROR(VLOOKUP($M16,Лист1!$A$4:$F$72,3,FALSE),"")</f>
        <v/>
      </c>
      <c r="AD16" s="147">
        <f t="shared" si="1"/>
        <v>0</v>
      </c>
      <c r="AE16" s="113">
        <f t="shared" si="2"/>
        <v>0</v>
      </c>
      <c r="AF16" s="114">
        <f t="shared" si="3"/>
        <v>0</v>
      </c>
      <c r="AG16" s="114">
        <f t="shared" si="4"/>
        <v>0</v>
      </c>
      <c r="AH16" s="114">
        <f t="shared" si="5"/>
        <v>0</v>
      </c>
      <c r="AI16" s="116">
        <f t="shared" si="6"/>
        <v>0</v>
      </c>
      <c r="AJ16" s="116" t="str">
        <f t="shared" si="7"/>
        <v>000</v>
      </c>
      <c r="AK16" s="116" t="str">
        <f t="shared" si="8"/>
        <v>000</v>
      </c>
      <c r="AL16" s="117"/>
      <c r="AM16" s="118" t="str">
        <f t="shared" si="9"/>
        <v>км 0+000 - км 0+000</v>
      </c>
      <c r="AN16" s="119" t="str">
        <f t="shared" si="10"/>
        <v/>
      </c>
      <c r="AO16" s="148" t="e">
        <f t="shared" si="11"/>
        <v>#VALUE!</v>
      </c>
      <c r="AP16" s="120">
        <f t="shared" si="24"/>
        <v>0</v>
      </c>
      <c r="AQ16" s="115">
        <f t="shared" si="25"/>
        <v>0</v>
      </c>
      <c r="AR16" s="121"/>
      <c r="AS16" s="122">
        <f t="shared" si="26"/>
        <v>0</v>
      </c>
      <c r="AT16" s="122">
        <f t="shared" si="26"/>
        <v>0</v>
      </c>
      <c r="AU16" s="123">
        <f t="shared" si="13"/>
        <v>0</v>
      </c>
      <c r="AV16" s="124">
        <f t="shared" si="14"/>
        <v>0</v>
      </c>
      <c r="AW16" s="124" t="str">
        <f t="shared" si="15"/>
        <v>-</v>
      </c>
      <c r="AX16" s="125"/>
      <c r="AY16" s="122" t="str">
        <f t="shared" si="16"/>
        <v>км 0+000 - км 0+000</v>
      </c>
      <c r="AZ16" s="124" t="str">
        <f t="shared" si="17"/>
        <v>-</v>
      </c>
      <c r="BA16" s="126">
        <f t="shared" si="18"/>
        <v>0.5</v>
      </c>
      <c r="BB16" s="125"/>
      <c r="BC16" s="125"/>
      <c r="BD16" s="123" t="str">
        <f t="shared" si="19"/>
        <v>км 0+000 - км 0+000</v>
      </c>
      <c r="BE16" s="126">
        <f t="shared" si="20"/>
        <v>0.5</v>
      </c>
      <c r="BF16" s="128" t="e">
        <f t="shared" ca="1" si="21"/>
        <v>#N/A</v>
      </c>
    </row>
    <row r="17" spans="1:58" ht="16.5" x14ac:dyDescent="0.25">
      <c r="A17" s="105">
        <f t="shared" si="23"/>
        <v>0</v>
      </c>
      <c r="B17" s="105"/>
      <c r="C17" s="106">
        <f t="shared" si="22"/>
        <v>0</v>
      </c>
      <c r="D17" s="107"/>
      <c r="E17" s="108"/>
      <c r="F17" s="108"/>
      <c r="G17" s="108"/>
      <c r="H17" s="108"/>
      <c r="I17" s="108"/>
      <c r="J17" s="108"/>
      <c r="K17" s="108"/>
      <c r="L17" s="108"/>
      <c r="M17" s="109"/>
      <c r="N17" s="142" t="str">
        <f>IFERROR(VLOOKUP($F17,Лист1!$A$4:$F$72,2,FALSE),"")</f>
        <v/>
      </c>
      <c r="O17" s="142" t="str">
        <f>IFERROR(VLOOKUP($G17,Лист1!$A$4:$F$72,2,FALSE),"")</f>
        <v/>
      </c>
      <c r="P17" s="110" t="str">
        <f>IFERROR(VLOOKUP($H17,Лист1!$A$4:$F$72,2,FALSE),"")</f>
        <v/>
      </c>
      <c r="Q17" s="110" t="str">
        <f>IFERROR(VLOOKUP($I17,Лист1!$A$4:$F$72,2,FALSE),"")</f>
        <v/>
      </c>
      <c r="R17" s="110" t="str">
        <f>IFERROR(VLOOKUP($J17,Лист1!$A$4:$F$72,2,FALSE),"")</f>
        <v/>
      </c>
      <c r="S17" s="110" t="str">
        <f>IFERROR(VLOOKUP($K17,Лист1!$A$4:$F$72,2,FALSE),"")</f>
        <v/>
      </c>
      <c r="T17" s="110" t="str">
        <f>IFERROR(VLOOKUP($L17,Лист1!$A$4:$F$72,2,FALSE),"")</f>
        <v/>
      </c>
      <c r="U17" s="110" t="str">
        <f t="shared" si="0"/>
        <v/>
      </c>
      <c r="V17" s="143" t="str">
        <f>IFERROR(VLOOKUP($F17,Лист1!$A$4:$F$72,3,FALSE),"")</f>
        <v/>
      </c>
      <c r="W17" s="111" t="str">
        <f>IFERROR(VLOOKUP($G17,Лист1!$A$4:$F$72,3,FALSE),"")</f>
        <v/>
      </c>
      <c r="X17" s="111" t="str">
        <f>IFERROR(VLOOKUP($H17,Лист1!$A$4:$F$72,3,FALSE),"")</f>
        <v/>
      </c>
      <c r="Y17" s="111" t="str">
        <f>IFERROR(VLOOKUP($I17,Лист1!$A$4:$F$72,3,FALSE),"")</f>
        <v/>
      </c>
      <c r="Z17" s="111" t="str">
        <f>IFERROR(VLOOKUP($J17,Лист1!$A$4:$F$72,3,FALSE),"")</f>
        <v/>
      </c>
      <c r="AA17" s="111" t="str">
        <f>IFERROR(VLOOKUP($K17,Лист1!$A$4:$F$72,3,FALSE),"")</f>
        <v/>
      </c>
      <c r="AB17" s="111" t="str">
        <f>IFERROR(VLOOKUP($L17,Лист1!$A$4:$F$72,3,FALSE),"")</f>
        <v/>
      </c>
      <c r="AC17" s="111" t="str">
        <f>IFERROR(VLOOKUP($M17,Лист1!$A$4:$F$72,3,FALSE),"")</f>
        <v/>
      </c>
      <c r="AD17" s="144">
        <f t="shared" si="1"/>
        <v>0</v>
      </c>
      <c r="AE17" s="130">
        <f t="shared" si="2"/>
        <v>0</v>
      </c>
      <c r="AF17" s="131">
        <f t="shared" si="3"/>
        <v>0</v>
      </c>
      <c r="AG17" s="131">
        <f t="shared" si="4"/>
        <v>0</v>
      </c>
      <c r="AH17" s="131">
        <f t="shared" si="5"/>
        <v>0</v>
      </c>
      <c r="AI17" s="133">
        <f t="shared" si="6"/>
        <v>0</v>
      </c>
      <c r="AJ17" s="133" t="str">
        <f t="shared" si="7"/>
        <v>000</v>
      </c>
      <c r="AK17" s="133" t="str">
        <f t="shared" si="8"/>
        <v>000</v>
      </c>
      <c r="AL17" s="117"/>
      <c r="AM17" s="134" t="str">
        <f t="shared" si="9"/>
        <v>км 0+000 - км 0+000</v>
      </c>
      <c r="AN17" s="135" t="str">
        <f t="shared" si="10"/>
        <v/>
      </c>
      <c r="AO17" s="145" t="e">
        <f t="shared" si="11"/>
        <v>#VALUE!</v>
      </c>
      <c r="AP17" s="136">
        <f t="shared" si="24"/>
        <v>0</v>
      </c>
      <c r="AQ17" s="132">
        <f t="shared" si="25"/>
        <v>0</v>
      </c>
      <c r="AR17" s="121"/>
      <c r="AS17" s="137">
        <f t="shared" si="26"/>
        <v>0</v>
      </c>
      <c r="AT17" s="137">
        <f t="shared" si="26"/>
        <v>0</v>
      </c>
      <c r="AU17" s="138">
        <f t="shared" si="13"/>
        <v>0</v>
      </c>
      <c r="AV17" s="139">
        <f t="shared" si="14"/>
        <v>0</v>
      </c>
      <c r="AW17" s="139" t="str">
        <f t="shared" si="15"/>
        <v>-</v>
      </c>
      <c r="AX17" s="125"/>
      <c r="AY17" s="137" t="str">
        <f t="shared" si="16"/>
        <v>км 0+000 - км 0+000</v>
      </c>
      <c r="AZ17" s="139" t="str">
        <f t="shared" si="17"/>
        <v>-</v>
      </c>
      <c r="BA17" s="140">
        <f t="shared" si="18"/>
        <v>0.5</v>
      </c>
      <c r="BB17" s="125"/>
      <c r="BC17" s="125"/>
      <c r="BD17" s="138" t="str">
        <f t="shared" si="19"/>
        <v>км 0+000 - км 0+000</v>
      </c>
      <c r="BE17" s="140">
        <f t="shared" si="20"/>
        <v>0.5</v>
      </c>
      <c r="BF17" s="146" t="e">
        <f t="shared" ca="1" si="21"/>
        <v>#N/A</v>
      </c>
    </row>
    <row r="18" spans="1:58" ht="16.5" x14ac:dyDescent="0.25">
      <c r="A18" s="105">
        <f t="shared" si="23"/>
        <v>0</v>
      </c>
      <c r="B18" s="105"/>
      <c r="C18" s="106">
        <f t="shared" si="22"/>
        <v>0</v>
      </c>
      <c r="D18" s="107"/>
      <c r="E18" s="108"/>
      <c r="F18" s="108"/>
      <c r="G18" s="108"/>
      <c r="H18" s="108"/>
      <c r="I18" s="108"/>
      <c r="J18" s="108"/>
      <c r="K18" s="108"/>
      <c r="L18" s="108"/>
      <c r="M18" s="109"/>
      <c r="N18" s="142" t="str">
        <f>IFERROR(VLOOKUP($F18,Лист1!$A$4:$F$72,2,FALSE),"")</f>
        <v/>
      </c>
      <c r="O18" s="142" t="str">
        <f>IFERROR(VLOOKUP($G18,Лист1!$A$4:$F$72,2,FALSE),"")</f>
        <v/>
      </c>
      <c r="P18" s="110" t="str">
        <f>IFERROR(VLOOKUP($H18,Лист1!$A$4:$F$72,2,FALSE),"")</f>
        <v/>
      </c>
      <c r="Q18" s="110" t="str">
        <f>IFERROR(VLOOKUP($I18,Лист1!$A$4:$F$72,2,FALSE),"")</f>
        <v/>
      </c>
      <c r="R18" s="110" t="str">
        <f>IFERROR(VLOOKUP($J18,Лист1!$A$4:$F$72,2,FALSE),"")</f>
        <v/>
      </c>
      <c r="S18" s="110" t="str">
        <f>IFERROR(VLOOKUP($K18,Лист1!$A$4:$F$72,2,FALSE),"")</f>
        <v/>
      </c>
      <c r="T18" s="110" t="str">
        <f>IFERROR(VLOOKUP($L18,Лист1!$A$4:$F$72,2,FALSE),"")</f>
        <v/>
      </c>
      <c r="U18" s="110" t="str">
        <f t="shared" si="0"/>
        <v/>
      </c>
      <c r="V18" s="143" t="str">
        <f>IFERROR(VLOOKUP($F18,Лист1!$A$4:$F$72,3,FALSE),"")</f>
        <v/>
      </c>
      <c r="W18" s="111" t="str">
        <f>IFERROR(VLOOKUP($G18,Лист1!$A$4:$F$72,3,FALSE),"")</f>
        <v/>
      </c>
      <c r="X18" s="111" t="str">
        <f>IFERROR(VLOOKUP($H18,Лист1!$A$4:$F$72,3,FALSE),"")</f>
        <v/>
      </c>
      <c r="Y18" s="111" t="str">
        <f>IFERROR(VLOOKUP($I18,Лист1!$A$4:$F$72,3,FALSE),"")</f>
        <v/>
      </c>
      <c r="Z18" s="111" t="str">
        <f>IFERROR(VLOOKUP($J18,Лист1!$A$4:$F$72,3,FALSE),"")</f>
        <v/>
      </c>
      <c r="AA18" s="111" t="str">
        <f>IFERROR(VLOOKUP($K18,Лист1!$A$4:$F$72,3,FALSE),"")</f>
        <v/>
      </c>
      <c r="AB18" s="111" t="str">
        <f>IFERROR(VLOOKUP($L18,Лист1!$A$4:$F$72,3,FALSE),"")</f>
        <v/>
      </c>
      <c r="AC18" s="111" t="str">
        <f>IFERROR(VLOOKUP($M18,Лист1!$A$4:$F$72,3,FALSE),"")</f>
        <v/>
      </c>
      <c r="AD18" s="147">
        <f t="shared" si="1"/>
        <v>0</v>
      </c>
      <c r="AE18" s="113">
        <f t="shared" si="2"/>
        <v>0</v>
      </c>
      <c r="AF18" s="114">
        <f t="shared" ref="AF18:AF25" si="27">ROUND(ROUNDDOWN(AD18,0),0)</f>
        <v>0</v>
      </c>
      <c r="AG18" s="114">
        <f t="shared" ref="AG18:AG25" si="28">ROUND((AD18-AF18)*1000,0)</f>
        <v>0</v>
      </c>
      <c r="AH18" s="114">
        <f t="shared" ref="AH18:AH25" si="29">ROUND(ROUNDDOWN(AE18,0),0)</f>
        <v>0</v>
      </c>
      <c r="AI18" s="116">
        <f t="shared" ref="AI18:AI25" si="30">ROUND((AE18-AH18)*1000,0)</f>
        <v>0</v>
      </c>
      <c r="AJ18" s="116" t="str">
        <f t="shared" si="7"/>
        <v>000</v>
      </c>
      <c r="AK18" s="116" t="str">
        <f t="shared" si="8"/>
        <v>000</v>
      </c>
      <c r="AL18" s="117"/>
      <c r="AM18" s="118" t="str">
        <f t="shared" ref="AM18:AM25" si="31">CONCATENATE("км ",AF18,"+",AJ18," - км ",AH18,"+",AK18)</f>
        <v>км 0+000 - км 0+000</v>
      </c>
      <c r="AN18" s="119" t="str">
        <f t="shared" si="10"/>
        <v/>
      </c>
      <c r="AO18" s="148" t="e">
        <f t="shared" si="11"/>
        <v>#VALUE!</v>
      </c>
      <c r="AP18" s="120">
        <f t="shared" si="24"/>
        <v>0</v>
      </c>
      <c r="AQ18" s="115">
        <f t="shared" si="25"/>
        <v>0</v>
      </c>
      <c r="AR18" s="121"/>
      <c r="AS18" s="122">
        <f t="shared" ref="AS18:AT20" si="32">AD18</f>
        <v>0</v>
      </c>
      <c r="AT18" s="122">
        <f t="shared" si="32"/>
        <v>0</v>
      </c>
      <c r="AU18" s="123">
        <f t="shared" si="13"/>
        <v>0</v>
      </c>
      <c r="AV18" s="124">
        <f t="shared" si="14"/>
        <v>0</v>
      </c>
      <c r="AW18" s="124" t="str">
        <f t="shared" si="15"/>
        <v>-</v>
      </c>
      <c r="AX18" s="125"/>
      <c r="AY18" s="122" t="str">
        <f t="shared" si="16"/>
        <v>км 0+000 - км 0+000</v>
      </c>
      <c r="AZ18" s="124" t="str">
        <f t="shared" si="17"/>
        <v>-</v>
      </c>
      <c r="BA18" s="126">
        <f t="shared" si="18"/>
        <v>0.5</v>
      </c>
      <c r="BB18" s="125"/>
      <c r="BC18" s="125"/>
      <c r="BD18" s="123" t="str">
        <f t="shared" si="19"/>
        <v>км 0+000 - км 0+000</v>
      </c>
      <c r="BE18" s="126">
        <f t="shared" si="20"/>
        <v>0.5</v>
      </c>
      <c r="BF18" s="128" t="e">
        <f t="shared" ref="BF18:BF25" ca="1" si="33">ROUND(BE18*$N$4,0)</f>
        <v>#N/A</v>
      </c>
    </row>
    <row r="19" spans="1:58" ht="16.5" x14ac:dyDescent="0.25">
      <c r="A19" s="105">
        <f t="shared" si="23"/>
        <v>0</v>
      </c>
      <c r="B19" s="105"/>
      <c r="C19" s="106">
        <f t="shared" si="22"/>
        <v>0</v>
      </c>
      <c r="D19" s="107"/>
      <c r="E19" s="108"/>
      <c r="F19" s="108"/>
      <c r="G19" s="108"/>
      <c r="H19" s="108"/>
      <c r="I19" s="108"/>
      <c r="J19" s="108"/>
      <c r="K19" s="108"/>
      <c r="L19" s="108"/>
      <c r="M19" s="109"/>
      <c r="N19" s="142" t="str">
        <f>IFERROR(VLOOKUP($F19,Лист1!$A$4:$F$72,2,FALSE),"")</f>
        <v/>
      </c>
      <c r="O19" s="142" t="str">
        <f>IFERROR(VLOOKUP($G19,Лист1!$A$4:$F$72,2,FALSE),"")</f>
        <v/>
      </c>
      <c r="P19" s="110" t="str">
        <f>IFERROR(VLOOKUP($H19,Лист1!$A$4:$F$72,2,FALSE),"")</f>
        <v/>
      </c>
      <c r="Q19" s="110" t="str">
        <f>IFERROR(VLOOKUP($I19,Лист1!$A$4:$F$72,2,FALSE),"")</f>
        <v/>
      </c>
      <c r="R19" s="110" t="str">
        <f>IFERROR(VLOOKUP($J19,Лист1!$A$4:$F$72,2,FALSE),"")</f>
        <v/>
      </c>
      <c r="S19" s="110" t="str">
        <f>IFERROR(VLOOKUP($K19,Лист1!$A$4:$F$72,2,FALSE),"")</f>
        <v/>
      </c>
      <c r="T19" s="110" t="str">
        <f>IFERROR(VLOOKUP($L19,Лист1!$A$4:$F$72,2,FALSE),"")</f>
        <v/>
      </c>
      <c r="U19" s="110" t="str">
        <f t="shared" si="0"/>
        <v/>
      </c>
      <c r="V19" s="143" t="str">
        <f>IFERROR(VLOOKUP($F19,Лист1!$A$4:$F$72,3,FALSE),"")</f>
        <v/>
      </c>
      <c r="W19" s="111" t="str">
        <f>IFERROR(VLOOKUP($G19,Лист1!$A$4:$F$72,3,FALSE),"")</f>
        <v/>
      </c>
      <c r="X19" s="111" t="str">
        <f>IFERROR(VLOOKUP($H19,Лист1!$A$4:$F$72,3,FALSE),"")</f>
        <v/>
      </c>
      <c r="Y19" s="111" t="str">
        <f>IFERROR(VLOOKUP($I19,Лист1!$A$4:$F$72,3,FALSE),"")</f>
        <v/>
      </c>
      <c r="Z19" s="111" t="str">
        <f>IFERROR(VLOOKUP($J19,Лист1!$A$4:$F$72,3,FALSE),"")</f>
        <v/>
      </c>
      <c r="AA19" s="111" t="str">
        <f>IFERROR(VLOOKUP($K19,Лист1!$A$4:$F$72,3,FALSE),"")</f>
        <v/>
      </c>
      <c r="AB19" s="111" t="str">
        <f>IFERROR(VLOOKUP($L19,Лист1!$A$4:$F$72,3,FALSE),"")</f>
        <v/>
      </c>
      <c r="AC19" s="111" t="str">
        <f>IFERROR(VLOOKUP($M19,Лист1!$A$4:$F$72,3,FALSE),"")</f>
        <v/>
      </c>
      <c r="AD19" s="144">
        <f t="shared" si="1"/>
        <v>0</v>
      </c>
      <c r="AE19" s="130">
        <f t="shared" si="2"/>
        <v>0</v>
      </c>
      <c r="AF19" s="131">
        <f t="shared" si="27"/>
        <v>0</v>
      </c>
      <c r="AG19" s="131">
        <f t="shared" si="28"/>
        <v>0</v>
      </c>
      <c r="AH19" s="131">
        <f t="shared" si="29"/>
        <v>0</v>
      </c>
      <c r="AI19" s="133">
        <f t="shared" si="30"/>
        <v>0</v>
      </c>
      <c r="AJ19" s="133" t="str">
        <f t="shared" si="7"/>
        <v>000</v>
      </c>
      <c r="AK19" s="133" t="str">
        <f t="shared" si="8"/>
        <v>000</v>
      </c>
      <c r="AL19" s="117"/>
      <c r="AM19" s="134" t="str">
        <f t="shared" si="31"/>
        <v>км 0+000 - км 0+000</v>
      </c>
      <c r="AN19" s="135" t="str">
        <f t="shared" si="10"/>
        <v/>
      </c>
      <c r="AO19" s="145" t="e">
        <f t="shared" si="11"/>
        <v>#VALUE!</v>
      </c>
      <c r="AP19" s="136">
        <f t="shared" si="24"/>
        <v>0</v>
      </c>
      <c r="AQ19" s="132">
        <f t="shared" si="25"/>
        <v>0</v>
      </c>
      <c r="AR19" s="121"/>
      <c r="AS19" s="137">
        <f t="shared" si="32"/>
        <v>0</v>
      </c>
      <c r="AT19" s="137">
        <f t="shared" si="32"/>
        <v>0</v>
      </c>
      <c r="AU19" s="138">
        <f t="shared" si="13"/>
        <v>0</v>
      </c>
      <c r="AV19" s="139">
        <f t="shared" si="14"/>
        <v>0</v>
      </c>
      <c r="AW19" s="139" t="str">
        <f t="shared" si="15"/>
        <v>-</v>
      </c>
      <c r="AX19" s="125"/>
      <c r="AY19" s="137" t="str">
        <f t="shared" si="16"/>
        <v>км 0+000 - км 0+000</v>
      </c>
      <c r="AZ19" s="139" t="str">
        <f t="shared" si="17"/>
        <v>-</v>
      </c>
      <c r="BA19" s="140">
        <f t="shared" si="18"/>
        <v>0.5</v>
      </c>
      <c r="BB19" s="125"/>
      <c r="BC19" s="125"/>
      <c r="BD19" s="138" t="str">
        <f t="shared" si="19"/>
        <v>км 0+000 - км 0+000</v>
      </c>
      <c r="BE19" s="140">
        <f t="shared" si="20"/>
        <v>0.5</v>
      </c>
      <c r="BF19" s="146" t="e">
        <f t="shared" ca="1" si="33"/>
        <v>#N/A</v>
      </c>
    </row>
    <row r="20" spans="1:58" ht="16.5" x14ac:dyDescent="0.25">
      <c r="A20" s="105">
        <f t="shared" si="23"/>
        <v>0</v>
      </c>
      <c r="B20" s="105"/>
      <c r="C20" s="106">
        <f t="shared" si="22"/>
        <v>0</v>
      </c>
      <c r="D20" s="107"/>
      <c r="E20" s="108"/>
      <c r="F20" s="108"/>
      <c r="G20" s="108"/>
      <c r="H20" s="108"/>
      <c r="I20" s="108"/>
      <c r="J20" s="108"/>
      <c r="K20" s="108"/>
      <c r="L20" s="108"/>
      <c r="M20" s="109"/>
      <c r="N20" s="142" t="str">
        <f>IFERROR(VLOOKUP($F20,Лист1!$A$4:$F$72,2,FALSE),"")</f>
        <v/>
      </c>
      <c r="O20" s="142" t="str">
        <f>IFERROR(VLOOKUP($G20,Лист1!$A$4:$F$72,2,FALSE),"")</f>
        <v/>
      </c>
      <c r="P20" s="110" t="str">
        <f>IFERROR(VLOOKUP($H20,Лист1!$A$4:$F$72,2,FALSE),"")</f>
        <v/>
      </c>
      <c r="Q20" s="110" t="str">
        <f>IFERROR(VLOOKUP($I20,Лист1!$A$4:$F$72,2,FALSE),"")</f>
        <v/>
      </c>
      <c r="R20" s="110" t="str">
        <f>IFERROR(VLOOKUP($J20,Лист1!$A$4:$F$72,2,FALSE),"")</f>
        <v/>
      </c>
      <c r="S20" s="110" t="str">
        <f>IFERROR(VLOOKUP($K20,Лист1!$A$4:$F$72,2,FALSE),"")</f>
        <v/>
      </c>
      <c r="T20" s="110" t="str">
        <f>IFERROR(VLOOKUP($L20,Лист1!$A$4:$F$72,2,FALSE),"")</f>
        <v/>
      </c>
      <c r="U20" s="110" t="str">
        <f t="shared" si="0"/>
        <v/>
      </c>
      <c r="V20" s="143" t="str">
        <f>IFERROR(VLOOKUP($F20,Лист1!$A$4:$F$72,3,FALSE),"")</f>
        <v/>
      </c>
      <c r="W20" s="111" t="str">
        <f>IFERROR(VLOOKUP($G20,Лист1!$A$4:$F$72,3,FALSE),"")</f>
        <v/>
      </c>
      <c r="X20" s="111" t="str">
        <f>IFERROR(VLOOKUP($H20,Лист1!$A$4:$F$72,3,FALSE),"")</f>
        <v/>
      </c>
      <c r="Y20" s="111" t="str">
        <f>IFERROR(VLOOKUP($I20,Лист1!$A$4:$F$72,3,FALSE),"")</f>
        <v/>
      </c>
      <c r="Z20" s="111" t="str">
        <f>IFERROR(VLOOKUP($J20,Лист1!$A$4:$F$72,3,FALSE),"")</f>
        <v/>
      </c>
      <c r="AA20" s="111" t="str">
        <f>IFERROR(VLOOKUP($K20,Лист1!$A$4:$F$72,3,FALSE),"")</f>
        <v/>
      </c>
      <c r="AB20" s="111" t="str">
        <f>IFERROR(VLOOKUP($L20,Лист1!$A$4:$F$72,3,FALSE),"")</f>
        <v/>
      </c>
      <c r="AC20" s="111" t="str">
        <f>IFERROR(VLOOKUP($M20,Лист1!$A$4:$F$72,3,FALSE),"")</f>
        <v/>
      </c>
      <c r="AD20" s="147">
        <f t="shared" si="1"/>
        <v>0</v>
      </c>
      <c r="AE20" s="113">
        <f t="shared" si="2"/>
        <v>0</v>
      </c>
      <c r="AF20" s="114">
        <f t="shared" si="27"/>
        <v>0</v>
      </c>
      <c r="AG20" s="114">
        <f t="shared" si="28"/>
        <v>0</v>
      </c>
      <c r="AH20" s="114">
        <f t="shared" si="29"/>
        <v>0</v>
      </c>
      <c r="AI20" s="116">
        <f t="shared" si="30"/>
        <v>0</v>
      </c>
      <c r="AJ20" s="116" t="str">
        <f t="shared" si="7"/>
        <v>000</v>
      </c>
      <c r="AK20" s="116" t="str">
        <f t="shared" si="8"/>
        <v>000</v>
      </c>
      <c r="AL20" s="117"/>
      <c r="AM20" s="118" t="str">
        <f t="shared" si="31"/>
        <v>км 0+000 - км 0+000</v>
      </c>
      <c r="AN20" s="119" t="str">
        <f t="shared" si="10"/>
        <v/>
      </c>
      <c r="AO20" s="148" t="e">
        <f t="shared" si="11"/>
        <v>#VALUE!</v>
      </c>
      <c r="AP20" s="120">
        <f t="shared" si="24"/>
        <v>0</v>
      </c>
      <c r="AQ20" s="115">
        <f t="shared" si="25"/>
        <v>0</v>
      </c>
      <c r="AR20" s="121"/>
      <c r="AS20" s="122">
        <f t="shared" si="32"/>
        <v>0</v>
      </c>
      <c r="AT20" s="122">
        <f t="shared" si="32"/>
        <v>0</v>
      </c>
      <c r="AU20" s="123">
        <f t="shared" si="13"/>
        <v>0</v>
      </c>
      <c r="AV20" s="124">
        <f t="shared" si="14"/>
        <v>0</v>
      </c>
      <c r="AW20" s="124" t="str">
        <f t="shared" si="15"/>
        <v>-</v>
      </c>
      <c r="AX20" s="125"/>
      <c r="AY20" s="122" t="str">
        <f t="shared" si="16"/>
        <v>км 0+000 - км 0+000</v>
      </c>
      <c r="AZ20" s="124" t="str">
        <f t="shared" si="17"/>
        <v>-</v>
      </c>
      <c r="BA20" s="126">
        <f t="shared" si="18"/>
        <v>0.5</v>
      </c>
      <c r="BB20" s="125"/>
      <c r="BC20" s="125"/>
      <c r="BD20" s="123" t="str">
        <f t="shared" si="19"/>
        <v>км 0+000 - км 0+000</v>
      </c>
      <c r="BE20" s="126">
        <f t="shared" si="20"/>
        <v>0.5</v>
      </c>
      <c r="BF20" s="128" t="e">
        <f t="shared" ca="1" si="33"/>
        <v>#N/A</v>
      </c>
    </row>
    <row r="21" spans="1:58" ht="16.5" x14ac:dyDescent="0.25">
      <c r="A21" s="105">
        <f t="shared" si="23"/>
        <v>0</v>
      </c>
      <c r="B21" s="105"/>
      <c r="C21" s="106">
        <f t="shared" si="22"/>
        <v>0</v>
      </c>
      <c r="D21" s="107"/>
      <c r="E21" s="108"/>
      <c r="F21" s="108"/>
      <c r="G21" s="108"/>
      <c r="H21" s="108"/>
      <c r="I21" s="108"/>
      <c r="J21" s="108"/>
      <c r="K21" s="108"/>
      <c r="L21" s="108"/>
      <c r="M21" s="109"/>
      <c r="N21" s="142" t="str">
        <f>IFERROR(VLOOKUP($F21,Лист1!$A$4:$F$72,2,FALSE),"")</f>
        <v/>
      </c>
      <c r="O21" s="142" t="str">
        <f>IFERROR(VLOOKUP($G21,Лист1!$A$4:$F$72,2,FALSE),"")</f>
        <v/>
      </c>
      <c r="P21" s="110" t="str">
        <f>IFERROR(VLOOKUP($H21,Лист1!$A$4:$F$72,2,FALSE),"")</f>
        <v/>
      </c>
      <c r="Q21" s="110" t="str">
        <f>IFERROR(VLOOKUP($I21,Лист1!$A$4:$F$72,2,FALSE),"")</f>
        <v/>
      </c>
      <c r="R21" s="110" t="str">
        <f>IFERROR(VLOOKUP($J21,Лист1!$A$4:$F$72,2,FALSE),"")</f>
        <v/>
      </c>
      <c r="S21" s="110" t="str">
        <f>IFERROR(VLOOKUP($K21,Лист1!$A$4:$F$72,2,FALSE),"")</f>
        <v/>
      </c>
      <c r="T21" s="110" t="str">
        <f>IFERROR(VLOOKUP($L21,Лист1!$A$4:$F$72,2,FALSE),"")</f>
        <v/>
      </c>
      <c r="U21" s="110" t="str">
        <f t="shared" si="0"/>
        <v/>
      </c>
      <c r="V21" s="143" t="str">
        <f>IFERROR(VLOOKUP($F21,Лист1!$A$4:$F$72,3,FALSE),"")</f>
        <v/>
      </c>
      <c r="W21" s="111" t="str">
        <f>IFERROR(VLOOKUP($G21,Лист1!$A$4:$F$72,3,FALSE),"")</f>
        <v/>
      </c>
      <c r="X21" s="111" t="str">
        <f>IFERROR(VLOOKUP($H21,Лист1!$A$4:$F$72,3,FALSE),"")</f>
        <v/>
      </c>
      <c r="Y21" s="111" t="str">
        <f>IFERROR(VLOOKUP($I21,Лист1!$A$4:$F$72,3,FALSE),"")</f>
        <v/>
      </c>
      <c r="Z21" s="111" t="str">
        <f>IFERROR(VLOOKUP($J21,Лист1!$A$4:$F$72,3,FALSE),"")</f>
        <v/>
      </c>
      <c r="AA21" s="111" t="str">
        <f>IFERROR(VLOOKUP($K21,Лист1!$A$4:$F$72,3,FALSE),"")</f>
        <v/>
      </c>
      <c r="AB21" s="111" t="str">
        <f>IFERROR(VLOOKUP($L21,Лист1!$A$4:$F$72,3,FALSE),"")</f>
        <v/>
      </c>
      <c r="AC21" s="111" t="str">
        <f>IFERROR(VLOOKUP($M21,Лист1!$A$4:$F$72,3,FALSE),"")</f>
        <v/>
      </c>
      <c r="AD21" s="144">
        <f t="shared" si="1"/>
        <v>0</v>
      </c>
      <c r="AE21" s="130">
        <f t="shared" si="2"/>
        <v>0</v>
      </c>
      <c r="AF21" s="131">
        <f t="shared" si="27"/>
        <v>0</v>
      </c>
      <c r="AG21" s="131">
        <f t="shared" si="28"/>
        <v>0</v>
      </c>
      <c r="AH21" s="131">
        <f t="shared" si="29"/>
        <v>0</v>
      </c>
      <c r="AI21" s="133">
        <f t="shared" si="30"/>
        <v>0</v>
      </c>
      <c r="AJ21" s="133" t="str">
        <f t="shared" si="7"/>
        <v>000</v>
      </c>
      <c r="AK21" s="133" t="str">
        <f t="shared" si="8"/>
        <v>000</v>
      </c>
      <c r="AL21" s="117"/>
      <c r="AM21" s="134" t="str">
        <f t="shared" si="31"/>
        <v>км 0+000 - км 0+000</v>
      </c>
      <c r="AN21" s="135" t="str">
        <f t="shared" si="10"/>
        <v/>
      </c>
      <c r="AO21" s="145" t="e">
        <f t="shared" si="11"/>
        <v>#VALUE!</v>
      </c>
      <c r="AP21" s="136">
        <f>MIN(V21:AC21)</f>
        <v>0</v>
      </c>
      <c r="AQ21" s="132">
        <f>AP21*C21</f>
        <v>0</v>
      </c>
      <c r="AR21" s="121"/>
      <c r="AS21" s="137">
        <f t="shared" ref="AS21:AT25" si="34">AD21</f>
        <v>0</v>
      </c>
      <c r="AT21" s="137">
        <f t="shared" si="34"/>
        <v>0</v>
      </c>
      <c r="AU21" s="138">
        <f t="shared" si="13"/>
        <v>0</v>
      </c>
      <c r="AV21" s="139">
        <f t="shared" si="14"/>
        <v>0</v>
      </c>
      <c r="AW21" s="139" t="str">
        <f t="shared" si="15"/>
        <v>-</v>
      </c>
      <c r="AX21" s="125"/>
      <c r="AY21" s="137" t="str">
        <f t="shared" si="16"/>
        <v>км 0+000 - км 0+000</v>
      </c>
      <c r="AZ21" s="139" t="str">
        <f t="shared" si="17"/>
        <v>-</v>
      </c>
      <c r="BA21" s="140">
        <f t="shared" si="18"/>
        <v>0.5</v>
      </c>
      <c r="BB21" s="125"/>
      <c r="BC21" s="125"/>
      <c r="BD21" s="138" t="str">
        <f t="shared" si="19"/>
        <v>км 0+000 - км 0+000</v>
      </c>
      <c r="BE21" s="140">
        <f t="shared" si="20"/>
        <v>0.5</v>
      </c>
      <c r="BF21" s="146" t="e">
        <f t="shared" ca="1" si="33"/>
        <v>#N/A</v>
      </c>
    </row>
    <row r="22" spans="1:58" ht="16.5" x14ac:dyDescent="0.25">
      <c r="A22" s="105">
        <f t="shared" si="23"/>
        <v>0</v>
      </c>
      <c r="B22" s="105"/>
      <c r="C22" s="106">
        <f t="shared" si="22"/>
        <v>0</v>
      </c>
      <c r="D22" s="107"/>
      <c r="E22" s="108"/>
      <c r="F22" s="108"/>
      <c r="G22" s="108"/>
      <c r="H22" s="108"/>
      <c r="I22" s="108"/>
      <c r="J22" s="108"/>
      <c r="K22" s="108"/>
      <c r="L22" s="108"/>
      <c r="M22" s="109"/>
      <c r="N22" s="142" t="str">
        <f>IFERROR(VLOOKUP($F22,Лист1!$A$4:$F$72,2,FALSE),"")</f>
        <v/>
      </c>
      <c r="O22" s="142" t="str">
        <f>IFERROR(VLOOKUP($G22,Лист1!$A$4:$F$72,2,FALSE),"")</f>
        <v/>
      </c>
      <c r="P22" s="110" t="str">
        <f>IFERROR(VLOOKUP($H22,Лист1!$A$4:$F$72,2,FALSE),"")</f>
        <v/>
      </c>
      <c r="Q22" s="110" t="str">
        <f>IFERROR(VLOOKUP($I22,Лист1!$A$4:$F$72,2,FALSE),"")</f>
        <v/>
      </c>
      <c r="R22" s="110" t="str">
        <f>IFERROR(VLOOKUP($J22,Лист1!$A$4:$F$72,2,FALSE),"")</f>
        <v/>
      </c>
      <c r="S22" s="110" t="str">
        <f>IFERROR(VLOOKUP($K22,Лист1!$A$4:$F$72,2,FALSE),"")</f>
        <v/>
      </c>
      <c r="T22" s="110" t="str">
        <f>IFERROR(VLOOKUP($L22,Лист1!$A$4:$F$72,2,FALSE),"")</f>
        <v/>
      </c>
      <c r="U22" s="110" t="str">
        <f t="shared" si="0"/>
        <v/>
      </c>
      <c r="V22" s="143" t="str">
        <f>IFERROR(VLOOKUP($F22,Лист1!$A$4:$F$72,3,FALSE),"")</f>
        <v/>
      </c>
      <c r="W22" s="111" t="str">
        <f>IFERROR(VLOOKUP($G22,Лист1!$A$4:$F$72,3,FALSE),"")</f>
        <v/>
      </c>
      <c r="X22" s="111" t="str">
        <f>IFERROR(VLOOKUP($H22,Лист1!$A$4:$F$72,3,FALSE),"")</f>
        <v/>
      </c>
      <c r="Y22" s="111" t="str">
        <f>IFERROR(VLOOKUP($I22,Лист1!$A$4:$F$72,3,FALSE),"")</f>
        <v/>
      </c>
      <c r="Z22" s="111" t="str">
        <f>IFERROR(VLOOKUP($J22,Лист1!$A$4:$F$72,3,FALSE),"")</f>
        <v/>
      </c>
      <c r="AA22" s="111" t="str">
        <f>IFERROR(VLOOKUP($K22,Лист1!$A$4:$F$72,3,FALSE),"")</f>
        <v/>
      </c>
      <c r="AB22" s="111" t="str">
        <f>IFERROR(VLOOKUP($L22,Лист1!$A$4:$F$72,3,FALSE),"")</f>
        <v/>
      </c>
      <c r="AC22" s="111" t="str">
        <f>IFERROR(VLOOKUP($M22,Лист1!$A$4:$F$72,3,FALSE),"")</f>
        <v/>
      </c>
      <c r="AD22" s="147">
        <f t="shared" si="1"/>
        <v>0</v>
      </c>
      <c r="AE22" s="113">
        <f t="shared" si="2"/>
        <v>0</v>
      </c>
      <c r="AF22" s="114">
        <f t="shared" si="27"/>
        <v>0</v>
      </c>
      <c r="AG22" s="114">
        <f t="shared" si="28"/>
        <v>0</v>
      </c>
      <c r="AH22" s="114">
        <f t="shared" si="29"/>
        <v>0</v>
      </c>
      <c r="AI22" s="116">
        <f t="shared" si="30"/>
        <v>0</v>
      </c>
      <c r="AJ22" s="116" t="str">
        <f t="shared" si="7"/>
        <v>000</v>
      </c>
      <c r="AK22" s="116" t="str">
        <f t="shared" si="8"/>
        <v>000</v>
      </c>
      <c r="AL22" s="117"/>
      <c r="AM22" s="118" t="str">
        <f t="shared" si="31"/>
        <v>км 0+000 - км 0+000</v>
      </c>
      <c r="AN22" s="119" t="str">
        <f t="shared" si="10"/>
        <v/>
      </c>
      <c r="AO22" s="148" t="e">
        <f t="shared" si="11"/>
        <v>#VALUE!</v>
      </c>
      <c r="AP22" s="120">
        <f>MIN(V22:AC22)</f>
        <v>0</v>
      </c>
      <c r="AQ22" s="115">
        <f>AP22*C22</f>
        <v>0</v>
      </c>
      <c r="AR22" s="121"/>
      <c r="AS22" s="122">
        <f t="shared" si="34"/>
        <v>0</v>
      </c>
      <c r="AT22" s="122">
        <f t="shared" si="34"/>
        <v>0</v>
      </c>
      <c r="AU22" s="123">
        <f t="shared" si="13"/>
        <v>0</v>
      </c>
      <c r="AV22" s="124">
        <f t="shared" si="14"/>
        <v>0</v>
      </c>
      <c r="AW22" s="124" t="str">
        <f t="shared" si="15"/>
        <v>-</v>
      </c>
      <c r="AX22" s="125"/>
      <c r="AY22" s="122" t="str">
        <f t="shared" si="16"/>
        <v>км 0+000 - км 0+000</v>
      </c>
      <c r="AZ22" s="124" t="str">
        <f t="shared" si="17"/>
        <v>-</v>
      </c>
      <c r="BA22" s="126">
        <f t="shared" si="18"/>
        <v>0.5</v>
      </c>
      <c r="BB22" s="125"/>
      <c r="BC22" s="125"/>
      <c r="BD22" s="123" t="str">
        <f t="shared" si="19"/>
        <v>км 0+000 - км 0+000</v>
      </c>
      <c r="BE22" s="126">
        <f t="shared" si="20"/>
        <v>0.5</v>
      </c>
      <c r="BF22" s="149" t="e">
        <f t="shared" ca="1" si="33"/>
        <v>#N/A</v>
      </c>
    </row>
    <row r="23" spans="1:58" ht="16.5" x14ac:dyDescent="0.25">
      <c r="A23" s="105">
        <f t="shared" si="23"/>
        <v>0</v>
      </c>
      <c r="B23" s="105"/>
      <c r="C23" s="106">
        <f t="shared" si="22"/>
        <v>0</v>
      </c>
      <c r="D23" s="107"/>
      <c r="E23" s="108"/>
      <c r="F23" s="108"/>
      <c r="G23" s="108"/>
      <c r="H23" s="108"/>
      <c r="I23" s="108"/>
      <c r="J23" s="108"/>
      <c r="K23" s="108"/>
      <c r="L23" s="108"/>
      <c r="M23" s="109"/>
      <c r="N23" s="142" t="str">
        <f>IFERROR(VLOOKUP($F23,Лист1!$A$4:$F$72,2,FALSE),"")</f>
        <v/>
      </c>
      <c r="O23" s="142" t="str">
        <f>IFERROR(VLOOKUP($G23,Лист1!$A$4:$F$72,2,FALSE),"")</f>
        <v/>
      </c>
      <c r="P23" s="110" t="str">
        <f>IFERROR(VLOOKUP($H23,Лист1!$A$4:$F$72,2,FALSE),"")</f>
        <v/>
      </c>
      <c r="Q23" s="110" t="str">
        <f>IFERROR(VLOOKUP($I23,Лист1!$A$4:$F$72,2,FALSE),"")</f>
        <v/>
      </c>
      <c r="R23" s="110" t="str">
        <f>IFERROR(VLOOKUP($J23,Лист1!$A$4:$F$72,2,FALSE),"")</f>
        <v/>
      </c>
      <c r="S23" s="110" t="str">
        <f>IFERROR(VLOOKUP($K23,Лист1!$A$4:$F$72,2,FALSE),"")</f>
        <v/>
      </c>
      <c r="T23" s="110" t="str">
        <f>IFERROR(VLOOKUP($L23,Лист1!$A$4:$F$72,2,FALSE),"")</f>
        <v/>
      </c>
      <c r="U23" s="110" t="str">
        <f t="shared" si="0"/>
        <v/>
      </c>
      <c r="V23" s="143" t="str">
        <f>IFERROR(VLOOKUP($F23,Лист1!$A$4:$F$72,3,FALSE),"")</f>
        <v/>
      </c>
      <c r="W23" s="111" t="str">
        <f>IFERROR(VLOOKUP($G23,Лист1!$A$4:$F$72,3,FALSE),"")</f>
        <v/>
      </c>
      <c r="X23" s="111" t="str">
        <f>IFERROR(VLOOKUP($H23,Лист1!$A$4:$F$72,3,FALSE),"")</f>
        <v/>
      </c>
      <c r="Y23" s="111" t="str">
        <f>IFERROR(VLOOKUP($I23,Лист1!$A$4:$F$72,3,FALSE),"")</f>
        <v/>
      </c>
      <c r="Z23" s="111" t="str">
        <f>IFERROR(VLOOKUP($J23,Лист1!$A$4:$F$72,3,FALSE),"")</f>
        <v/>
      </c>
      <c r="AA23" s="111" t="str">
        <f>IFERROR(VLOOKUP($K23,Лист1!$A$4:$F$72,3,FALSE),"")</f>
        <v/>
      </c>
      <c r="AB23" s="111" t="str">
        <f>IFERROR(VLOOKUP($L23,Лист1!$A$4:$F$72,3,FALSE),"")</f>
        <v/>
      </c>
      <c r="AC23" s="111" t="str">
        <f>IFERROR(VLOOKUP($M23,Лист1!$A$4:$F$72,3,FALSE),"")</f>
        <v/>
      </c>
      <c r="AD23" s="144">
        <f t="shared" si="1"/>
        <v>0</v>
      </c>
      <c r="AE23" s="130">
        <f t="shared" si="2"/>
        <v>0</v>
      </c>
      <c r="AF23" s="131">
        <f t="shared" si="27"/>
        <v>0</v>
      </c>
      <c r="AG23" s="131">
        <f t="shared" si="28"/>
        <v>0</v>
      </c>
      <c r="AH23" s="131">
        <f t="shared" si="29"/>
        <v>0</v>
      </c>
      <c r="AI23" s="133">
        <f t="shared" si="30"/>
        <v>0</v>
      </c>
      <c r="AJ23" s="133" t="str">
        <f t="shared" si="7"/>
        <v>000</v>
      </c>
      <c r="AK23" s="133" t="str">
        <f t="shared" si="8"/>
        <v>000</v>
      </c>
      <c r="AL23" s="117"/>
      <c r="AM23" s="134" t="str">
        <f t="shared" si="31"/>
        <v>км 0+000 - км 0+000</v>
      </c>
      <c r="AN23" s="135" t="str">
        <f t="shared" si="10"/>
        <v/>
      </c>
      <c r="AO23" s="145" t="e">
        <f t="shared" si="11"/>
        <v>#VALUE!</v>
      </c>
      <c r="AP23" s="136">
        <f>MIN(V23:AC23)</f>
        <v>0</v>
      </c>
      <c r="AQ23" s="132">
        <f>AP23*C23</f>
        <v>0</v>
      </c>
      <c r="AR23" s="121"/>
      <c r="AS23" s="137">
        <f t="shared" si="34"/>
        <v>0</v>
      </c>
      <c r="AT23" s="137">
        <f t="shared" si="34"/>
        <v>0</v>
      </c>
      <c r="AU23" s="138">
        <f t="shared" si="13"/>
        <v>0</v>
      </c>
      <c r="AV23" s="139">
        <f t="shared" si="14"/>
        <v>0</v>
      </c>
      <c r="AW23" s="139" t="str">
        <f t="shared" si="15"/>
        <v>-</v>
      </c>
      <c r="AX23" s="125"/>
      <c r="AY23" s="137" t="str">
        <f t="shared" si="16"/>
        <v>км 0+000 - км 0+000</v>
      </c>
      <c r="AZ23" s="139" t="str">
        <f t="shared" si="17"/>
        <v>-</v>
      </c>
      <c r="BA23" s="140">
        <f t="shared" si="18"/>
        <v>0.5</v>
      </c>
      <c r="BB23" s="125"/>
      <c r="BC23" s="125"/>
      <c r="BD23" s="138" t="str">
        <f t="shared" si="19"/>
        <v>км 0+000 - км 0+000</v>
      </c>
      <c r="BE23" s="140">
        <f t="shared" si="20"/>
        <v>0.5</v>
      </c>
      <c r="BF23" s="146" t="e">
        <f t="shared" ca="1" si="33"/>
        <v>#N/A</v>
      </c>
    </row>
    <row r="24" spans="1:58" ht="16.5" x14ac:dyDescent="0.25">
      <c r="A24" s="105">
        <f t="shared" si="23"/>
        <v>0</v>
      </c>
      <c r="B24" s="105"/>
      <c r="C24" s="106">
        <f t="shared" si="22"/>
        <v>0</v>
      </c>
      <c r="D24" s="107"/>
      <c r="E24" s="108"/>
      <c r="F24" s="108"/>
      <c r="G24" s="108"/>
      <c r="H24" s="108"/>
      <c r="I24" s="108"/>
      <c r="J24" s="108"/>
      <c r="K24" s="108"/>
      <c r="L24" s="108"/>
      <c r="M24" s="109"/>
      <c r="N24" s="142" t="str">
        <f>IFERROR(VLOOKUP($F24,Лист1!$A$4:$F$72,2,FALSE),"")</f>
        <v/>
      </c>
      <c r="O24" s="142" t="str">
        <f>IFERROR(VLOOKUP($G24,Лист1!$A$4:$F$72,2,FALSE),"")</f>
        <v/>
      </c>
      <c r="P24" s="110" t="str">
        <f>IFERROR(VLOOKUP($H24,Лист1!$A$4:$F$72,2,FALSE),"")</f>
        <v/>
      </c>
      <c r="Q24" s="110" t="str">
        <f>IFERROR(VLOOKUP($I24,Лист1!$A$4:$F$72,2,FALSE),"")</f>
        <v/>
      </c>
      <c r="R24" s="110" t="str">
        <f>IFERROR(VLOOKUP($J24,Лист1!$A$4:$F$72,2,FALSE),"")</f>
        <v/>
      </c>
      <c r="S24" s="110" t="str">
        <f>IFERROR(VLOOKUP($K24,Лист1!$A$4:$F$72,2,FALSE),"")</f>
        <v/>
      </c>
      <c r="T24" s="110" t="str">
        <f>IFERROR(VLOOKUP($L24,Лист1!$A$4:$F$72,2,FALSE),"")</f>
        <v/>
      </c>
      <c r="U24" s="110" t="str">
        <f t="shared" si="0"/>
        <v/>
      </c>
      <c r="V24" s="143" t="str">
        <f>IFERROR(VLOOKUP($F24,Лист1!$A$4:$F$72,3,FALSE),"")</f>
        <v/>
      </c>
      <c r="W24" s="111" t="str">
        <f>IFERROR(VLOOKUP($G24,Лист1!$A$4:$F$72,3,FALSE),"")</f>
        <v/>
      </c>
      <c r="X24" s="111" t="str">
        <f>IFERROR(VLOOKUP($H24,Лист1!$A$4:$F$72,3,FALSE),"")</f>
        <v/>
      </c>
      <c r="Y24" s="111" t="str">
        <f>IFERROR(VLOOKUP($I24,Лист1!$A$4:$F$72,3,FALSE),"")</f>
        <v/>
      </c>
      <c r="Z24" s="111" t="str">
        <f>IFERROR(VLOOKUP($J24,Лист1!$A$4:$F$72,3,FALSE),"")</f>
        <v/>
      </c>
      <c r="AA24" s="111" t="str">
        <f>IFERROR(VLOOKUP($K24,Лист1!$A$4:$F$72,3,FALSE),"")</f>
        <v/>
      </c>
      <c r="AB24" s="111" t="str">
        <f>IFERROR(VLOOKUP($L24,Лист1!$A$4:$F$72,3,FALSE),"")</f>
        <v/>
      </c>
      <c r="AC24" s="111" t="str">
        <f>IFERROR(VLOOKUP($M24,Лист1!$A$4:$F$72,3,FALSE),"")</f>
        <v/>
      </c>
      <c r="AD24" s="147">
        <f t="shared" si="1"/>
        <v>0</v>
      </c>
      <c r="AE24" s="113">
        <f t="shared" si="2"/>
        <v>0</v>
      </c>
      <c r="AF24" s="114">
        <f t="shared" si="27"/>
        <v>0</v>
      </c>
      <c r="AG24" s="114">
        <f t="shared" si="28"/>
        <v>0</v>
      </c>
      <c r="AH24" s="114">
        <f t="shared" si="29"/>
        <v>0</v>
      </c>
      <c r="AI24" s="116">
        <f t="shared" si="30"/>
        <v>0</v>
      </c>
      <c r="AJ24" s="116" t="str">
        <f t="shared" si="7"/>
        <v>000</v>
      </c>
      <c r="AK24" s="116" t="str">
        <f t="shared" si="8"/>
        <v>000</v>
      </c>
      <c r="AL24" s="117"/>
      <c r="AM24" s="118" t="str">
        <f t="shared" si="31"/>
        <v>км 0+000 - км 0+000</v>
      </c>
      <c r="AN24" s="119" t="str">
        <f t="shared" si="10"/>
        <v/>
      </c>
      <c r="AO24" s="148" t="e">
        <f t="shared" si="11"/>
        <v>#VALUE!</v>
      </c>
      <c r="AP24" s="120">
        <f>MIN(V24:AC24)</f>
        <v>0</v>
      </c>
      <c r="AQ24" s="115">
        <f>AP24*C24</f>
        <v>0</v>
      </c>
      <c r="AR24" s="121"/>
      <c r="AS24" s="122">
        <f t="shared" si="34"/>
        <v>0</v>
      </c>
      <c r="AT24" s="122">
        <f t="shared" si="34"/>
        <v>0</v>
      </c>
      <c r="AU24" s="123">
        <f t="shared" si="13"/>
        <v>0</v>
      </c>
      <c r="AV24" s="124">
        <f t="shared" si="14"/>
        <v>0</v>
      </c>
      <c r="AW24" s="124" t="str">
        <f t="shared" si="15"/>
        <v>-</v>
      </c>
      <c r="AX24" s="125"/>
      <c r="AY24" s="122" t="str">
        <f t="shared" si="16"/>
        <v>км 0+000 - км 0+000</v>
      </c>
      <c r="AZ24" s="124" t="str">
        <f t="shared" si="17"/>
        <v>-</v>
      </c>
      <c r="BA24" s="126">
        <f t="shared" si="18"/>
        <v>0.5</v>
      </c>
      <c r="BB24" s="125"/>
      <c r="BC24" s="125"/>
      <c r="BD24" s="123" t="str">
        <f t="shared" si="19"/>
        <v>км 0+000 - км 0+000</v>
      </c>
      <c r="BE24" s="126">
        <f t="shared" si="20"/>
        <v>0.5</v>
      </c>
      <c r="BF24" s="149" t="e">
        <f t="shared" ca="1" si="33"/>
        <v>#N/A</v>
      </c>
    </row>
    <row r="25" spans="1:58" ht="16.5" x14ac:dyDescent="0.25">
      <c r="A25" s="105">
        <f t="shared" si="23"/>
        <v>0</v>
      </c>
      <c r="B25" s="105"/>
      <c r="C25" s="106">
        <f t="shared" si="22"/>
        <v>0</v>
      </c>
      <c r="D25" s="150"/>
      <c r="E25" s="151"/>
      <c r="F25" s="151"/>
      <c r="G25" s="152"/>
      <c r="H25" s="152"/>
      <c r="I25" s="152"/>
      <c r="J25" s="152"/>
      <c r="K25" s="152"/>
      <c r="L25" s="152"/>
      <c r="M25" s="153"/>
      <c r="N25" s="154" t="str">
        <f>IFERROR(VLOOKUP($F25,Лист1!$A$4:$F$72,2,FALSE),"")</f>
        <v/>
      </c>
      <c r="O25" s="154" t="str">
        <f>IFERROR(VLOOKUP($G25,Лист1!$A$4:$F$72,2,FALSE),"")</f>
        <v/>
      </c>
      <c r="P25" s="155" t="str">
        <f>IFERROR(VLOOKUP($H25,Лист1!$A$4:$F$72,2,FALSE),"")</f>
        <v/>
      </c>
      <c r="Q25" s="155" t="str">
        <f>IFERROR(VLOOKUP($I25,Лист1!$A$4:$F$72,2,FALSE),"")</f>
        <v/>
      </c>
      <c r="R25" s="155" t="str">
        <f>IFERROR(VLOOKUP($J25,Лист1!$A$4:$F$72,2,FALSE),"")</f>
        <v/>
      </c>
      <c r="S25" s="155" t="str">
        <f>IFERROR(VLOOKUP($K25,Лист1!$A$4:$F$72,2,FALSE),"")</f>
        <v/>
      </c>
      <c r="T25" s="155" t="str">
        <f>IFERROR(VLOOKUP($L25,Лист1!$A$4:$F$72,2,FALSE),"")</f>
        <v/>
      </c>
      <c r="U25" s="155" t="str">
        <f t="shared" si="0"/>
        <v/>
      </c>
      <c r="V25" s="156" t="str">
        <f>IFERROR(VLOOKUP($F25,Лист1!$A$4:$F$72,3,FALSE),"")</f>
        <v/>
      </c>
      <c r="W25" s="157" t="str">
        <f>IFERROR(VLOOKUP($G25,Лист1!$A$4:$F$72,3,FALSE),"")</f>
        <v/>
      </c>
      <c r="X25" s="157" t="str">
        <f>IFERROR(VLOOKUP($H25,Лист1!$A$4:$F$72,3,FALSE),"")</f>
        <v/>
      </c>
      <c r="Y25" s="157" t="str">
        <f>IFERROR(VLOOKUP($I25,Лист1!$A$4:$F$72,3,FALSE),"")</f>
        <v/>
      </c>
      <c r="Z25" s="157" t="str">
        <f>IFERROR(VLOOKUP($J25,Лист1!$A$4:$F$72,3,FALSE),"")</f>
        <v/>
      </c>
      <c r="AA25" s="157" t="str">
        <f>IFERROR(VLOOKUP($K25,Лист1!$A$4:$F$72,3,FALSE),"")</f>
        <v/>
      </c>
      <c r="AB25" s="157" t="str">
        <f>IFERROR(VLOOKUP($L25,Лист1!$A$4:$F$72,3,FALSE),"")</f>
        <v/>
      </c>
      <c r="AC25" s="157" t="str">
        <f>IFERROR(VLOOKUP($M25,Лист1!$A$4:$F$72,3,FALSE),"")</f>
        <v/>
      </c>
      <c r="AD25" s="158">
        <f t="shared" si="1"/>
        <v>0</v>
      </c>
      <c r="AE25" s="159">
        <f t="shared" si="2"/>
        <v>0</v>
      </c>
      <c r="AF25" s="160">
        <f t="shared" si="27"/>
        <v>0</v>
      </c>
      <c r="AG25" s="160">
        <f t="shared" si="28"/>
        <v>0</v>
      </c>
      <c r="AH25" s="160">
        <f t="shared" si="29"/>
        <v>0</v>
      </c>
      <c r="AI25" s="161">
        <f t="shared" si="30"/>
        <v>0</v>
      </c>
      <c r="AJ25" s="161" t="str">
        <f t="shared" si="7"/>
        <v>000</v>
      </c>
      <c r="AK25" s="161" t="str">
        <f t="shared" si="8"/>
        <v>000</v>
      </c>
      <c r="AL25" s="162"/>
      <c r="AM25" s="163" t="str">
        <f t="shared" si="31"/>
        <v>км 0+000 - км 0+000</v>
      </c>
      <c r="AN25" s="164" t="str">
        <f t="shared" si="10"/>
        <v/>
      </c>
      <c r="AO25" s="165" t="e">
        <f t="shared" si="11"/>
        <v>#VALUE!</v>
      </c>
      <c r="AP25" s="166">
        <f>MIN(V25:AC25)</f>
        <v>0</v>
      </c>
      <c r="AQ25" s="167">
        <f>AP25*C25</f>
        <v>0</v>
      </c>
      <c r="AR25" s="168"/>
      <c r="AS25" s="169">
        <f t="shared" si="34"/>
        <v>0</v>
      </c>
      <c r="AT25" s="169">
        <f t="shared" si="34"/>
        <v>0</v>
      </c>
      <c r="AU25" s="170">
        <f t="shared" si="13"/>
        <v>0</v>
      </c>
      <c r="AV25" s="171">
        <f t="shared" si="14"/>
        <v>0</v>
      </c>
      <c r="AW25" s="171" t="str">
        <f t="shared" si="15"/>
        <v>-</v>
      </c>
      <c r="AX25" s="172"/>
      <c r="AY25" s="173" t="str">
        <f t="shared" si="16"/>
        <v>км 0+000 - км 0+000</v>
      </c>
      <c r="AZ25" s="174" t="str">
        <f t="shared" si="17"/>
        <v>-</v>
      </c>
      <c r="BA25" s="175">
        <f t="shared" si="18"/>
        <v>0.5</v>
      </c>
      <c r="BB25" s="172"/>
      <c r="BC25" s="172"/>
      <c r="BD25" s="170" t="str">
        <f t="shared" si="19"/>
        <v>км 0+000 - км 0+000</v>
      </c>
      <c r="BE25" s="176">
        <f t="shared" si="20"/>
        <v>0.5</v>
      </c>
      <c r="BF25" s="177" t="e">
        <f t="shared" ca="1" si="33"/>
        <v>#N/A</v>
      </c>
    </row>
    <row r="26" spans="1:58" ht="16.5" x14ac:dyDescent="0.25">
      <c r="A26" s="105">
        <f t="shared" si="23"/>
        <v>0</v>
      </c>
      <c r="B26" s="105"/>
      <c r="C26" s="106">
        <f t="shared" si="22"/>
        <v>0</v>
      </c>
      <c r="D26" s="107"/>
      <c r="E26" s="108"/>
      <c r="F26" s="108"/>
      <c r="G26" s="108"/>
      <c r="H26" s="108"/>
      <c r="I26" s="108"/>
      <c r="J26" s="108"/>
      <c r="K26" s="108"/>
      <c r="L26" s="108"/>
      <c r="M26" s="109"/>
      <c r="N26" s="142" t="str">
        <f>IFERROR(VLOOKUP($F26,Лист1!$A$4:$F$72,2,FALSE),"")</f>
        <v/>
      </c>
      <c r="O26" s="142" t="str">
        <f>IFERROR(VLOOKUP($G26,Лист1!$A$4:$F$72,2,FALSE),"")</f>
        <v/>
      </c>
      <c r="P26" s="110" t="str">
        <f>IFERROR(VLOOKUP($H26,Лист1!$A$4:$F$72,2,FALSE),"")</f>
        <v/>
      </c>
      <c r="Q26" s="110" t="str">
        <f>IFERROR(VLOOKUP($I26,Лист1!$A$4:$F$72,2,FALSE),"")</f>
        <v/>
      </c>
      <c r="R26" s="110" t="str">
        <f>IFERROR(VLOOKUP($J26,Лист1!$A$4:$F$72,2,FALSE),"")</f>
        <v/>
      </c>
      <c r="S26" s="110" t="str">
        <f>IFERROR(VLOOKUP($K26,Лист1!$A$4:$F$72,2,FALSE),"")</f>
        <v/>
      </c>
      <c r="T26" s="110" t="str">
        <f>IFERROR(VLOOKUP($L26,Лист1!$A$4:$F$72,2,FALSE),"")</f>
        <v/>
      </c>
      <c r="U26" s="110" t="str">
        <f t="shared" si="0"/>
        <v/>
      </c>
      <c r="V26" s="143" t="str">
        <f>IFERROR(VLOOKUP($F26,Лист1!$A$4:$F$72,3,FALSE),"")</f>
        <v/>
      </c>
      <c r="W26" s="111" t="str">
        <f>IFERROR(VLOOKUP($G26,Лист1!$A$4:$F$72,3,FALSE),"")</f>
        <v/>
      </c>
      <c r="X26" s="111" t="str">
        <f>IFERROR(VLOOKUP($H26,Лист1!$A$4:$F$72,3,FALSE),"")</f>
        <v/>
      </c>
      <c r="Y26" s="111" t="str">
        <f>IFERROR(VLOOKUP($I26,Лист1!$A$4:$F$72,3,FALSE),"")</f>
        <v/>
      </c>
      <c r="Z26" s="111" t="str">
        <f>IFERROR(VLOOKUP($J26,Лист1!$A$4:$F$72,3,FALSE),"")</f>
        <v/>
      </c>
      <c r="AA26" s="111" t="str">
        <f>IFERROR(VLOOKUP($K26,Лист1!$A$4:$F$72,3,FALSE),"")</f>
        <v/>
      </c>
      <c r="AB26" s="111" t="str">
        <f>IFERROR(VLOOKUP($L26,Лист1!$A$4:$F$72,3,FALSE),"")</f>
        <v/>
      </c>
      <c r="AC26" s="111" t="str">
        <f>IFERROR(VLOOKUP($M26,Лист1!$A$4:$F$72,3,FALSE),"")</f>
        <v/>
      </c>
      <c r="AD26" s="147">
        <f t="shared" ref="AD26:AD51" si="35">ROUND(AE25,3)</f>
        <v>0</v>
      </c>
      <c r="AE26" s="113">
        <f t="shared" ref="AE26:AE51" si="36">ROUND(AD26+C26,3)</f>
        <v>0</v>
      </c>
      <c r="AF26" s="114">
        <f t="shared" ref="AF26:AF51" si="37">ROUND(ROUNDDOWN(AD26,0),0)</f>
        <v>0</v>
      </c>
      <c r="AG26" s="114">
        <f t="shared" ref="AG26:AG51" si="38">ROUND((AD26-AF26)*1000,0)</f>
        <v>0</v>
      </c>
      <c r="AH26" s="114">
        <f t="shared" ref="AH26:AH51" si="39">ROUND(ROUNDDOWN(AE26,0),0)</f>
        <v>0</v>
      </c>
      <c r="AI26" s="116">
        <f t="shared" ref="AI26:AI51" si="40">ROUND((AE26-AH26)*1000,0)</f>
        <v>0</v>
      </c>
      <c r="AJ26" s="116" t="str">
        <f t="shared" si="7"/>
        <v>000</v>
      </c>
      <c r="AK26" s="116" t="str">
        <f t="shared" si="8"/>
        <v>000</v>
      </c>
      <c r="AL26" s="117"/>
      <c r="AM26" s="118" t="str">
        <f t="shared" ref="AM26:AM51" si="41">CONCATENATE("км ",AF26,"+",AJ26," - км ",AH26,"+",AK26)</f>
        <v>км 0+000 - км 0+000</v>
      </c>
      <c r="AN26" s="119" t="str">
        <f t="shared" si="10"/>
        <v/>
      </c>
      <c r="AO26" s="148" t="e">
        <f t="shared" si="11"/>
        <v>#VALUE!</v>
      </c>
      <c r="AP26" s="120">
        <f t="shared" ref="AP26:AP51" si="42">MIN(V26:AC26)</f>
        <v>0</v>
      </c>
      <c r="AQ26" s="115">
        <f t="shared" ref="AQ26:AQ51" si="43">AP26*C26</f>
        <v>0</v>
      </c>
      <c r="AR26" s="121"/>
      <c r="AS26" s="122">
        <f t="shared" ref="AS26:AS51" si="44">AD26</f>
        <v>0</v>
      </c>
      <c r="AT26" s="122">
        <f t="shared" ref="AT26:AT51" si="45">AE26</f>
        <v>0</v>
      </c>
      <c r="AU26" s="123">
        <f t="shared" ref="AU26:AU51" si="46">E26</f>
        <v>0</v>
      </c>
      <c r="AV26" s="124">
        <f t="shared" ref="AV26:AV51" si="47">D26</f>
        <v>0</v>
      </c>
      <c r="AW26" s="124" t="str">
        <f t="shared" ref="AW26:AW51" si="48">IF(AP26=0,"-",AP26)</f>
        <v>-</v>
      </c>
      <c r="AX26" s="125"/>
      <c r="AY26" s="122" t="str">
        <f t="shared" si="16"/>
        <v>км 0+000 - км 0+000</v>
      </c>
      <c r="AZ26" s="124" t="str">
        <f t="shared" si="17"/>
        <v>-</v>
      </c>
      <c r="BA26" s="126">
        <f t="shared" si="18"/>
        <v>0.5</v>
      </c>
      <c r="BB26" s="125"/>
      <c r="BC26" s="125"/>
      <c r="BD26" s="123" t="str">
        <f t="shared" si="19"/>
        <v>км 0+000 - км 0+000</v>
      </c>
      <c r="BE26" s="126">
        <f t="shared" si="20"/>
        <v>0.5</v>
      </c>
      <c r="BF26" s="149" t="e">
        <f t="shared" ref="BF26:BF51" ca="1" si="49">ROUND(BE26*$N$4,0)</f>
        <v>#N/A</v>
      </c>
    </row>
    <row r="27" spans="1:58" ht="16.5" x14ac:dyDescent="0.25">
      <c r="A27" s="105">
        <f t="shared" si="23"/>
        <v>0</v>
      </c>
      <c r="B27" s="105"/>
      <c r="C27" s="106">
        <f t="shared" si="22"/>
        <v>0</v>
      </c>
      <c r="D27" s="150"/>
      <c r="E27" s="151"/>
      <c r="F27" s="151"/>
      <c r="G27" s="152"/>
      <c r="H27" s="152"/>
      <c r="I27" s="152"/>
      <c r="J27" s="152"/>
      <c r="K27" s="152"/>
      <c r="L27" s="152"/>
      <c r="M27" s="153"/>
      <c r="N27" s="154" t="str">
        <f>IFERROR(VLOOKUP($F27,Лист1!$A$4:$F$72,2,FALSE),"")</f>
        <v/>
      </c>
      <c r="O27" s="154" t="str">
        <f>IFERROR(VLOOKUP($G27,Лист1!$A$4:$F$72,2,FALSE),"")</f>
        <v/>
      </c>
      <c r="P27" s="155" t="str">
        <f>IFERROR(VLOOKUP($H27,Лист1!$A$4:$F$72,2,FALSE),"")</f>
        <v/>
      </c>
      <c r="Q27" s="155" t="str">
        <f>IFERROR(VLOOKUP($I27,Лист1!$A$4:$F$72,2,FALSE),"")</f>
        <v/>
      </c>
      <c r="R27" s="155" t="str">
        <f>IFERROR(VLOOKUP($J27,Лист1!$A$4:$F$72,2,FALSE),"")</f>
        <v/>
      </c>
      <c r="S27" s="155" t="str">
        <f>IFERROR(VLOOKUP($K27,Лист1!$A$4:$F$72,2,FALSE),"")</f>
        <v/>
      </c>
      <c r="T27" s="155" t="str">
        <f>IFERROR(VLOOKUP($L27,Лист1!$A$4:$F$72,2,FALSE),"")</f>
        <v/>
      </c>
      <c r="U27" s="155" t="str">
        <f t="shared" si="0"/>
        <v/>
      </c>
      <c r="V27" s="156" t="str">
        <f>IFERROR(VLOOKUP($F27,Лист1!$A$4:$F$72,3,FALSE),"")</f>
        <v/>
      </c>
      <c r="W27" s="157" t="str">
        <f>IFERROR(VLOOKUP($G27,Лист1!$A$4:$F$72,3,FALSE),"")</f>
        <v/>
      </c>
      <c r="X27" s="157" t="str">
        <f>IFERROR(VLOOKUP($H27,Лист1!$A$4:$F$72,3,FALSE),"")</f>
        <v/>
      </c>
      <c r="Y27" s="157" t="str">
        <f>IFERROR(VLOOKUP($I27,Лист1!$A$4:$F$72,3,FALSE),"")</f>
        <v/>
      </c>
      <c r="Z27" s="157" t="str">
        <f>IFERROR(VLOOKUP($J27,Лист1!$A$4:$F$72,3,FALSE),"")</f>
        <v/>
      </c>
      <c r="AA27" s="157" t="str">
        <f>IFERROR(VLOOKUP($K27,Лист1!$A$4:$F$72,3,FALSE),"")</f>
        <v/>
      </c>
      <c r="AB27" s="157" t="str">
        <f>IFERROR(VLOOKUP($L27,Лист1!$A$4:$F$72,3,FALSE),"")</f>
        <v/>
      </c>
      <c r="AC27" s="157" t="str">
        <f>IFERROR(VLOOKUP($M27,Лист1!$A$4:$F$72,3,FALSE),"")</f>
        <v/>
      </c>
      <c r="AD27" s="158">
        <f t="shared" si="35"/>
        <v>0</v>
      </c>
      <c r="AE27" s="159">
        <f t="shared" si="36"/>
        <v>0</v>
      </c>
      <c r="AF27" s="160">
        <f t="shared" si="37"/>
        <v>0</v>
      </c>
      <c r="AG27" s="160">
        <f t="shared" si="38"/>
        <v>0</v>
      </c>
      <c r="AH27" s="160">
        <f t="shared" si="39"/>
        <v>0</v>
      </c>
      <c r="AI27" s="161">
        <f t="shared" si="40"/>
        <v>0</v>
      </c>
      <c r="AJ27" s="161" t="str">
        <f t="shared" si="7"/>
        <v>000</v>
      </c>
      <c r="AK27" s="161" t="str">
        <f t="shared" si="8"/>
        <v>000</v>
      </c>
      <c r="AL27" s="162"/>
      <c r="AM27" s="163" t="str">
        <f t="shared" si="41"/>
        <v>км 0+000 - км 0+000</v>
      </c>
      <c r="AN27" s="164" t="str">
        <f t="shared" si="10"/>
        <v/>
      </c>
      <c r="AO27" s="165" t="e">
        <f t="shared" si="11"/>
        <v>#VALUE!</v>
      </c>
      <c r="AP27" s="166">
        <f t="shared" si="42"/>
        <v>0</v>
      </c>
      <c r="AQ27" s="167">
        <f t="shared" si="43"/>
        <v>0</v>
      </c>
      <c r="AR27" s="168"/>
      <c r="AS27" s="169">
        <f t="shared" si="44"/>
        <v>0</v>
      </c>
      <c r="AT27" s="169">
        <f t="shared" si="45"/>
        <v>0</v>
      </c>
      <c r="AU27" s="170">
        <f t="shared" si="46"/>
        <v>0</v>
      </c>
      <c r="AV27" s="171">
        <f t="shared" si="47"/>
        <v>0</v>
      </c>
      <c r="AW27" s="171" t="str">
        <f t="shared" si="48"/>
        <v>-</v>
      </c>
      <c r="AX27" s="172"/>
      <c r="AY27" s="173" t="str">
        <f t="shared" si="16"/>
        <v>км 0+000 - км 0+000</v>
      </c>
      <c r="AZ27" s="174" t="str">
        <f t="shared" si="17"/>
        <v>-</v>
      </c>
      <c r="BA27" s="175">
        <f t="shared" si="18"/>
        <v>0.5</v>
      </c>
      <c r="BB27" s="172"/>
      <c r="BC27" s="172"/>
      <c r="BD27" s="170" t="str">
        <f t="shared" si="19"/>
        <v>км 0+000 - км 0+000</v>
      </c>
      <c r="BE27" s="176">
        <f t="shared" si="20"/>
        <v>0.5</v>
      </c>
      <c r="BF27" s="177" t="e">
        <f t="shared" ca="1" si="49"/>
        <v>#N/A</v>
      </c>
    </row>
    <row r="28" spans="1:58" ht="16.5" x14ac:dyDescent="0.25">
      <c r="A28" s="105">
        <f t="shared" si="23"/>
        <v>0</v>
      </c>
      <c r="B28" s="105"/>
      <c r="C28" s="106">
        <f t="shared" si="22"/>
        <v>0</v>
      </c>
      <c r="D28" s="107"/>
      <c r="E28" s="108"/>
      <c r="F28" s="108"/>
      <c r="G28" s="108"/>
      <c r="H28" s="108"/>
      <c r="I28" s="108"/>
      <c r="J28" s="108"/>
      <c r="K28" s="108"/>
      <c r="L28" s="108"/>
      <c r="M28" s="109"/>
      <c r="N28" s="142" t="str">
        <f>IFERROR(VLOOKUP($F28,Лист1!$A$4:$F$72,2,FALSE),"")</f>
        <v/>
      </c>
      <c r="O28" s="142" t="str">
        <f>IFERROR(VLOOKUP($G28,Лист1!$A$4:$F$72,2,FALSE),"")</f>
        <v/>
      </c>
      <c r="P28" s="110" t="str">
        <f>IFERROR(VLOOKUP($H28,Лист1!$A$4:$F$72,2,FALSE),"")</f>
        <v/>
      </c>
      <c r="Q28" s="110" t="str">
        <f>IFERROR(VLOOKUP($I28,Лист1!$A$4:$F$72,2,FALSE),"")</f>
        <v/>
      </c>
      <c r="R28" s="110" t="str">
        <f>IFERROR(VLOOKUP($J28,Лист1!$A$4:$F$72,2,FALSE),"")</f>
        <v/>
      </c>
      <c r="S28" s="110" t="str">
        <f>IFERROR(VLOOKUP($K28,Лист1!$A$4:$F$72,2,FALSE),"")</f>
        <v/>
      </c>
      <c r="T28" s="110" t="str">
        <f>IFERROR(VLOOKUP($L28,Лист1!$A$4:$F$72,2,FALSE),"")</f>
        <v/>
      </c>
      <c r="U28" s="110" t="str">
        <f t="shared" si="0"/>
        <v/>
      </c>
      <c r="V28" s="143" t="str">
        <f>IFERROR(VLOOKUP($F28,Лист1!$A$4:$F$72,3,FALSE),"")</f>
        <v/>
      </c>
      <c r="W28" s="111" t="str">
        <f>IFERROR(VLOOKUP($G28,Лист1!$A$4:$F$72,3,FALSE),"")</f>
        <v/>
      </c>
      <c r="X28" s="111" t="str">
        <f>IFERROR(VLOOKUP($H28,Лист1!$A$4:$F$72,3,FALSE),"")</f>
        <v/>
      </c>
      <c r="Y28" s="111" t="str">
        <f>IFERROR(VLOOKUP($I28,Лист1!$A$4:$F$72,3,FALSE),"")</f>
        <v/>
      </c>
      <c r="Z28" s="111" t="str">
        <f>IFERROR(VLOOKUP($J28,Лист1!$A$4:$F$72,3,FALSE),"")</f>
        <v/>
      </c>
      <c r="AA28" s="111" t="str">
        <f>IFERROR(VLOOKUP($K28,Лист1!$A$4:$F$72,3,FALSE),"")</f>
        <v/>
      </c>
      <c r="AB28" s="111" t="str">
        <f>IFERROR(VLOOKUP($L28,Лист1!$A$4:$F$72,3,FALSE),"")</f>
        <v/>
      </c>
      <c r="AC28" s="111" t="str">
        <f>IFERROR(VLOOKUP($M28,Лист1!$A$4:$F$72,3,FALSE),"")</f>
        <v/>
      </c>
      <c r="AD28" s="147">
        <f t="shared" si="35"/>
        <v>0</v>
      </c>
      <c r="AE28" s="113">
        <f t="shared" si="36"/>
        <v>0</v>
      </c>
      <c r="AF28" s="114">
        <f t="shared" si="37"/>
        <v>0</v>
      </c>
      <c r="AG28" s="114">
        <f t="shared" si="38"/>
        <v>0</v>
      </c>
      <c r="AH28" s="114">
        <f t="shared" si="39"/>
        <v>0</v>
      </c>
      <c r="AI28" s="116">
        <f t="shared" si="40"/>
        <v>0</v>
      </c>
      <c r="AJ28" s="116" t="str">
        <f t="shared" si="7"/>
        <v>000</v>
      </c>
      <c r="AK28" s="116" t="str">
        <f t="shared" si="8"/>
        <v>000</v>
      </c>
      <c r="AL28" s="117"/>
      <c r="AM28" s="118" t="str">
        <f t="shared" si="41"/>
        <v>км 0+000 - км 0+000</v>
      </c>
      <c r="AN28" s="119" t="str">
        <f t="shared" si="10"/>
        <v/>
      </c>
      <c r="AO28" s="148" t="e">
        <f t="shared" si="11"/>
        <v>#VALUE!</v>
      </c>
      <c r="AP28" s="120">
        <f t="shared" si="42"/>
        <v>0</v>
      </c>
      <c r="AQ28" s="115">
        <f t="shared" si="43"/>
        <v>0</v>
      </c>
      <c r="AR28" s="121"/>
      <c r="AS28" s="122">
        <f t="shared" si="44"/>
        <v>0</v>
      </c>
      <c r="AT28" s="122">
        <f t="shared" si="45"/>
        <v>0</v>
      </c>
      <c r="AU28" s="123">
        <f t="shared" si="46"/>
        <v>0</v>
      </c>
      <c r="AV28" s="124">
        <f t="shared" si="47"/>
        <v>0</v>
      </c>
      <c r="AW28" s="124" t="str">
        <f t="shared" si="48"/>
        <v>-</v>
      </c>
      <c r="AX28" s="125"/>
      <c r="AY28" s="122" t="str">
        <f t="shared" si="16"/>
        <v>км 0+000 - км 0+000</v>
      </c>
      <c r="AZ28" s="124" t="str">
        <f t="shared" si="17"/>
        <v>-</v>
      </c>
      <c r="BA28" s="126">
        <f t="shared" si="18"/>
        <v>0.5</v>
      </c>
      <c r="BB28" s="125"/>
      <c r="BC28" s="125"/>
      <c r="BD28" s="123" t="str">
        <f t="shared" si="19"/>
        <v>км 0+000 - км 0+000</v>
      </c>
      <c r="BE28" s="126">
        <f t="shared" si="20"/>
        <v>0.5</v>
      </c>
      <c r="BF28" s="149" t="e">
        <f t="shared" ca="1" si="49"/>
        <v>#N/A</v>
      </c>
    </row>
    <row r="29" spans="1:58" ht="16.5" x14ac:dyDescent="0.25">
      <c r="A29" s="105">
        <f t="shared" si="23"/>
        <v>0</v>
      </c>
      <c r="B29" s="105"/>
      <c r="C29" s="106">
        <f t="shared" si="22"/>
        <v>0</v>
      </c>
      <c r="D29" s="150"/>
      <c r="E29" s="151"/>
      <c r="F29" s="151"/>
      <c r="G29" s="152"/>
      <c r="H29" s="152"/>
      <c r="I29" s="152"/>
      <c r="J29" s="152"/>
      <c r="K29" s="152"/>
      <c r="L29" s="152"/>
      <c r="M29" s="153"/>
      <c r="N29" s="154" t="str">
        <f>IFERROR(VLOOKUP($F29,Лист1!$A$4:$F$72,2,FALSE),"")</f>
        <v/>
      </c>
      <c r="O29" s="154" t="str">
        <f>IFERROR(VLOOKUP($G29,Лист1!$A$4:$F$72,2,FALSE),"")</f>
        <v/>
      </c>
      <c r="P29" s="155" t="str">
        <f>IFERROR(VLOOKUP($H29,Лист1!$A$4:$F$72,2,FALSE),"")</f>
        <v/>
      </c>
      <c r="Q29" s="155" t="str">
        <f>IFERROR(VLOOKUP($I29,Лист1!$A$4:$F$72,2,FALSE),"")</f>
        <v/>
      </c>
      <c r="R29" s="155" t="str">
        <f>IFERROR(VLOOKUP($J29,Лист1!$A$4:$F$72,2,FALSE),"")</f>
        <v/>
      </c>
      <c r="S29" s="155" t="str">
        <f>IFERROR(VLOOKUP($K29,Лист1!$A$4:$F$72,2,FALSE),"")</f>
        <v/>
      </c>
      <c r="T29" s="155" t="str">
        <f>IFERROR(VLOOKUP($L29,Лист1!$A$4:$F$72,2,FALSE),"")</f>
        <v/>
      </c>
      <c r="U29" s="155" t="str">
        <f t="shared" si="0"/>
        <v/>
      </c>
      <c r="V29" s="156" t="str">
        <f>IFERROR(VLOOKUP($F29,Лист1!$A$4:$F$72,3,FALSE),"")</f>
        <v/>
      </c>
      <c r="W29" s="157" t="str">
        <f>IFERROR(VLOOKUP($G29,Лист1!$A$4:$F$72,3,FALSE),"")</f>
        <v/>
      </c>
      <c r="X29" s="157" t="str">
        <f>IFERROR(VLOOKUP($H29,Лист1!$A$4:$F$72,3,FALSE),"")</f>
        <v/>
      </c>
      <c r="Y29" s="157" t="str">
        <f>IFERROR(VLOOKUP($I29,Лист1!$A$4:$F$72,3,FALSE),"")</f>
        <v/>
      </c>
      <c r="Z29" s="157" t="str">
        <f>IFERROR(VLOOKUP($J29,Лист1!$A$4:$F$72,3,FALSE),"")</f>
        <v/>
      </c>
      <c r="AA29" s="157" t="str">
        <f>IFERROR(VLOOKUP($K29,Лист1!$A$4:$F$72,3,FALSE),"")</f>
        <v/>
      </c>
      <c r="AB29" s="157" t="str">
        <f>IFERROR(VLOOKUP($L29,Лист1!$A$4:$F$72,3,FALSE),"")</f>
        <v/>
      </c>
      <c r="AC29" s="157" t="str">
        <f>IFERROR(VLOOKUP($M29,Лист1!$A$4:$F$72,3,FALSE),"")</f>
        <v/>
      </c>
      <c r="AD29" s="158">
        <f t="shared" si="35"/>
        <v>0</v>
      </c>
      <c r="AE29" s="159">
        <f t="shared" si="36"/>
        <v>0</v>
      </c>
      <c r="AF29" s="160">
        <f t="shared" si="37"/>
        <v>0</v>
      </c>
      <c r="AG29" s="160">
        <f t="shared" si="38"/>
        <v>0</v>
      </c>
      <c r="AH29" s="160">
        <f t="shared" si="39"/>
        <v>0</v>
      </c>
      <c r="AI29" s="161">
        <f t="shared" si="40"/>
        <v>0</v>
      </c>
      <c r="AJ29" s="161" t="str">
        <f t="shared" si="7"/>
        <v>000</v>
      </c>
      <c r="AK29" s="161" t="str">
        <f t="shared" si="8"/>
        <v>000</v>
      </c>
      <c r="AL29" s="162"/>
      <c r="AM29" s="163" t="str">
        <f t="shared" si="41"/>
        <v>км 0+000 - км 0+000</v>
      </c>
      <c r="AN29" s="164" t="str">
        <f t="shared" si="10"/>
        <v/>
      </c>
      <c r="AO29" s="165" t="e">
        <f t="shared" si="11"/>
        <v>#VALUE!</v>
      </c>
      <c r="AP29" s="166">
        <f t="shared" si="42"/>
        <v>0</v>
      </c>
      <c r="AQ29" s="167">
        <f t="shared" si="43"/>
        <v>0</v>
      </c>
      <c r="AR29" s="168"/>
      <c r="AS29" s="169">
        <f t="shared" si="44"/>
        <v>0</v>
      </c>
      <c r="AT29" s="169">
        <f t="shared" si="45"/>
        <v>0</v>
      </c>
      <c r="AU29" s="170">
        <f t="shared" si="46"/>
        <v>0</v>
      </c>
      <c r="AV29" s="171">
        <f t="shared" si="47"/>
        <v>0</v>
      </c>
      <c r="AW29" s="171" t="str">
        <f t="shared" si="48"/>
        <v>-</v>
      </c>
      <c r="AX29" s="172"/>
      <c r="AY29" s="173" t="str">
        <f t="shared" si="16"/>
        <v>км 0+000 - км 0+000</v>
      </c>
      <c r="AZ29" s="174" t="str">
        <f t="shared" si="17"/>
        <v>-</v>
      </c>
      <c r="BA29" s="175">
        <f t="shared" si="18"/>
        <v>0.5</v>
      </c>
      <c r="BB29" s="172"/>
      <c r="BC29" s="172"/>
      <c r="BD29" s="170" t="str">
        <f t="shared" si="19"/>
        <v>км 0+000 - км 0+000</v>
      </c>
      <c r="BE29" s="176">
        <f t="shared" si="20"/>
        <v>0.5</v>
      </c>
      <c r="BF29" s="177" t="e">
        <f t="shared" ca="1" si="49"/>
        <v>#N/A</v>
      </c>
    </row>
    <row r="30" spans="1:58" ht="16.5" x14ac:dyDescent="0.25">
      <c r="A30" s="105">
        <f t="shared" si="23"/>
        <v>0</v>
      </c>
      <c r="B30" s="105"/>
      <c r="C30" s="106">
        <f t="shared" si="22"/>
        <v>0</v>
      </c>
      <c r="D30" s="107"/>
      <c r="E30" s="108"/>
      <c r="F30" s="108"/>
      <c r="G30" s="108"/>
      <c r="H30" s="108"/>
      <c r="I30" s="108"/>
      <c r="J30" s="108"/>
      <c r="K30" s="108"/>
      <c r="L30" s="108"/>
      <c r="M30" s="109"/>
      <c r="N30" s="142" t="str">
        <f>IFERROR(VLOOKUP($F30,Лист1!$A$4:$F$72,2,FALSE),"")</f>
        <v/>
      </c>
      <c r="O30" s="142" t="str">
        <f>IFERROR(VLOOKUP($G30,Лист1!$A$4:$F$72,2,FALSE),"")</f>
        <v/>
      </c>
      <c r="P30" s="110" t="str">
        <f>IFERROR(VLOOKUP($H30,Лист1!$A$4:$F$72,2,FALSE),"")</f>
        <v/>
      </c>
      <c r="Q30" s="110" t="str">
        <f>IFERROR(VLOOKUP($I30,Лист1!$A$4:$F$72,2,FALSE),"")</f>
        <v/>
      </c>
      <c r="R30" s="110" t="str">
        <f>IFERROR(VLOOKUP($J30,Лист1!$A$4:$F$72,2,FALSE),"")</f>
        <v/>
      </c>
      <c r="S30" s="110" t="str">
        <f>IFERROR(VLOOKUP($K30,Лист1!$A$4:$F$72,2,FALSE),"")</f>
        <v/>
      </c>
      <c r="T30" s="110" t="str">
        <f>IFERROR(VLOOKUP($L30,Лист1!$A$4:$F$72,2,FALSE),"")</f>
        <v/>
      </c>
      <c r="U30" s="110" t="str">
        <f t="shared" si="0"/>
        <v/>
      </c>
      <c r="V30" s="143" t="str">
        <f>IFERROR(VLOOKUP($F30,Лист1!$A$4:$F$72,3,FALSE),"")</f>
        <v/>
      </c>
      <c r="W30" s="111" t="str">
        <f>IFERROR(VLOOKUP($G30,Лист1!$A$4:$F$72,3,FALSE),"")</f>
        <v/>
      </c>
      <c r="X30" s="111" t="str">
        <f>IFERROR(VLOOKUP($H30,Лист1!$A$4:$F$72,3,FALSE),"")</f>
        <v/>
      </c>
      <c r="Y30" s="111" t="str">
        <f>IFERROR(VLOOKUP($I30,Лист1!$A$4:$F$72,3,FALSE),"")</f>
        <v/>
      </c>
      <c r="Z30" s="111" t="str">
        <f>IFERROR(VLOOKUP($J30,Лист1!$A$4:$F$72,3,FALSE),"")</f>
        <v/>
      </c>
      <c r="AA30" s="111" t="str">
        <f>IFERROR(VLOOKUP($K30,Лист1!$A$4:$F$72,3,FALSE),"")</f>
        <v/>
      </c>
      <c r="AB30" s="111" t="str">
        <f>IFERROR(VLOOKUP($L30,Лист1!$A$4:$F$72,3,FALSE),"")</f>
        <v/>
      </c>
      <c r="AC30" s="111" t="str">
        <f>IFERROR(VLOOKUP($M30,Лист1!$A$4:$F$72,3,FALSE),"")</f>
        <v/>
      </c>
      <c r="AD30" s="147">
        <f t="shared" si="35"/>
        <v>0</v>
      </c>
      <c r="AE30" s="113">
        <f t="shared" si="36"/>
        <v>0</v>
      </c>
      <c r="AF30" s="114">
        <f t="shared" si="37"/>
        <v>0</v>
      </c>
      <c r="AG30" s="114">
        <f t="shared" si="38"/>
        <v>0</v>
      </c>
      <c r="AH30" s="114">
        <f t="shared" si="39"/>
        <v>0</v>
      </c>
      <c r="AI30" s="116">
        <f t="shared" si="40"/>
        <v>0</v>
      </c>
      <c r="AJ30" s="116" t="str">
        <f t="shared" si="7"/>
        <v>000</v>
      </c>
      <c r="AK30" s="116" t="str">
        <f t="shared" si="8"/>
        <v>000</v>
      </c>
      <c r="AL30" s="117"/>
      <c r="AM30" s="118" t="str">
        <f t="shared" si="41"/>
        <v>км 0+000 - км 0+000</v>
      </c>
      <c r="AN30" s="119" t="str">
        <f t="shared" si="10"/>
        <v/>
      </c>
      <c r="AO30" s="148" t="e">
        <f t="shared" si="11"/>
        <v>#VALUE!</v>
      </c>
      <c r="AP30" s="120">
        <f t="shared" si="42"/>
        <v>0</v>
      </c>
      <c r="AQ30" s="115">
        <f t="shared" si="43"/>
        <v>0</v>
      </c>
      <c r="AR30" s="121"/>
      <c r="AS30" s="122">
        <f t="shared" si="44"/>
        <v>0</v>
      </c>
      <c r="AT30" s="122">
        <f t="shared" si="45"/>
        <v>0</v>
      </c>
      <c r="AU30" s="123">
        <f t="shared" si="46"/>
        <v>0</v>
      </c>
      <c r="AV30" s="124">
        <f t="shared" si="47"/>
        <v>0</v>
      </c>
      <c r="AW30" s="124" t="str">
        <f t="shared" si="48"/>
        <v>-</v>
      </c>
      <c r="AX30" s="125"/>
      <c r="AY30" s="122" t="str">
        <f t="shared" si="16"/>
        <v>км 0+000 - км 0+000</v>
      </c>
      <c r="AZ30" s="124" t="str">
        <f t="shared" si="17"/>
        <v>-</v>
      </c>
      <c r="BA30" s="126">
        <f t="shared" si="18"/>
        <v>0.5</v>
      </c>
      <c r="BB30" s="125"/>
      <c r="BC30" s="125"/>
      <c r="BD30" s="123" t="str">
        <f t="shared" si="19"/>
        <v>км 0+000 - км 0+000</v>
      </c>
      <c r="BE30" s="126">
        <f t="shared" si="20"/>
        <v>0.5</v>
      </c>
      <c r="BF30" s="149" t="e">
        <f t="shared" ca="1" si="49"/>
        <v>#N/A</v>
      </c>
    </row>
    <row r="31" spans="1:58" ht="16.5" x14ac:dyDescent="0.25">
      <c r="A31" s="105">
        <f t="shared" si="23"/>
        <v>0</v>
      </c>
      <c r="B31" s="105"/>
      <c r="C31" s="106">
        <f t="shared" si="22"/>
        <v>0</v>
      </c>
      <c r="D31" s="150"/>
      <c r="E31" s="151"/>
      <c r="F31" s="151"/>
      <c r="G31" s="152"/>
      <c r="H31" s="152"/>
      <c r="I31" s="152"/>
      <c r="J31" s="152"/>
      <c r="K31" s="152"/>
      <c r="L31" s="152"/>
      <c r="M31" s="153"/>
      <c r="N31" s="154" t="str">
        <f>IFERROR(VLOOKUP($F31,Лист1!$A$4:$F$72,2,FALSE),"")</f>
        <v/>
      </c>
      <c r="O31" s="154" t="str">
        <f>IFERROR(VLOOKUP($G31,Лист1!$A$4:$F$72,2,FALSE),"")</f>
        <v/>
      </c>
      <c r="P31" s="155" t="str">
        <f>IFERROR(VLOOKUP($H31,Лист1!$A$4:$F$72,2,FALSE),"")</f>
        <v/>
      </c>
      <c r="Q31" s="155" t="str">
        <f>IFERROR(VLOOKUP($I31,Лист1!$A$4:$F$72,2,FALSE),"")</f>
        <v/>
      </c>
      <c r="R31" s="155" t="str">
        <f>IFERROR(VLOOKUP($J31,Лист1!$A$4:$F$72,2,FALSE),"")</f>
        <v/>
      </c>
      <c r="S31" s="155" t="str">
        <f>IFERROR(VLOOKUP($K31,Лист1!$A$4:$F$72,2,FALSE),"")</f>
        <v/>
      </c>
      <c r="T31" s="155" t="str">
        <f>IFERROR(VLOOKUP($L31,Лист1!$A$4:$F$72,2,FALSE),"")</f>
        <v/>
      </c>
      <c r="U31" s="155" t="str">
        <f t="shared" si="0"/>
        <v/>
      </c>
      <c r="V31" s="156" t="str">
        <f>IFERROR(VLOOKUP($F31,Лист1!$A$4:$F$72,3,FALSE),"")</f>
        <v/>
      </c>
      <c r="W31" s="157" t="str">
        <f>IFERROR(VLOOKUP($G31,Лист1!$A$4:$F$72,3,FALSE),"")</f>
        <v/>
      </c>
      <c r="X31" s="157" t="str">
        <f>IFERROR(VLOOKUP($H31,Лист1!$A$4:$F$72,3,FALSE),"")</f>
        <v/>
      </c>
      <c r="Y31" s="157" t="str">
        <f>IFERROR(VLOOKUP($I31,Лист1!$A$4:$F$72,3,FALSE),"")</f>
        <v/>
      </c>
      <c r="Z31" s="157" t="str">
        <f>IFERROR(VLOOKUP($J31,Лист1!$A$4:$F$72,3,FALSE),"")</f>
        <v/>
      </c>
      <c r="AA31" s="157" t="str">
        <f>IFERROR(VLOOKUP($K31,Лист1!$A$4:$F$72,3,FALSE),"")</f>
        <v/>
      </c>
      <c r="AB31" s="157" t="str">
        <f>IFERROR(VLOOKUP($L31,Лист1!$A$4:$F$72,3,FALSE),"")</f>
        <v/>
      </c>
      <c r="AC31" s="157" t="str">
        <f>IFERROR(VLOOKUP($M31,Лист1!$A$4:$F$72,3,FALSE),"")</f>
        <v/>
      </c>
      <c r="AD31" s="158">
        <f t="shared" si="35"/>
        <v>0</v>
      </c>
      <c r="AE31" s="159">
        <f t="shared" si="36"/>
        <v>0</v>
      </c>
      <c r="AF31" s="160">
        <f t="shared" si="37"/>
        <v>0</v>
      </c>
      <c r="AG31" s="160">
        <f t="shared" si="38"/>
        <v>0</v>
      </c>
      <c r="AH31" s="160">
        <f t="shared" si="39"/>
        <v>0</v>
      </c>
      <c r="AI31" s="161">
        <f t="shared" si="40"/>
        <v>0</v>
      </c>
      <c r="AJ31" s="161" t="str">
        <f t="shared" si="7"/>
        <v>000</v>
      </c>
      <c r="AK31" s="161" t="str">
        <f t="shared" si="8"/>
        <v>000</v>
      </c>
      <c r="AL31" s="162"/>
      <c r="AM31" s="163" t="str">
        <f t="shared" si="41"/>
        <v>км 0+000 - км 0+000</v>
      </c>
      <c r="AN31" s="164" t="str">
        <f t="shared" si="10"/>
        <v/>
      </c>
      <c r="AO31" s="165" t="e">
        <f t="shared" si="11"/>
        <v>#VALUE!</v>
      </c>
      <c r="AP31" s="166">
        <f t="shared" si="42"/>
        <v>0</v>
      </c>
      <c r="AQ31" s="167">
        <f t="shared" si="43"/>
        <v>0</v>
      </c>
      <c r="AR31" s="168"/>
      <c r="AS31" s="169">
        <f t="shared" si="44"/>
        <v>0</v>
      </c>
      <c r="AT31" s="169">
        <f t="shared" si="45"/>
        <v>0</v>
      </c>
      <c r="AU31" s="170">
        <f t="shared" si="46"/>
        <v>0</v>
      </c>
      <c r="AV31" s="171">
        <f t="shared" si="47"/>
        <v>0</v>
      </c>
      <c r="AW31" s="171" t="str">
        <f t="shared" si="48"/>
        <v>-</v>
      </c>
      <c r="AX31" s="172"/>
      <c r="AY31" s="173" t="str">
        <f t="shared" si="16"/>
        <v>км 0+000 - км 0+000</v>
      </c>
      <c r="AZ31" s="174" t="str">
        <f t="shared" si="17"/>
        <v>-</v>
      </c>
      <c r="BA31" s="175">
        <f t="shared" si="18"/>
        <v>0.5</v>
      </c>
      <c r="BB31" s="172"/>
      <c r="BC31" s="172"/>
      <c r="BD31" s="170" t="str">
        <f t="shared" si="19"/>
        <v>км 0+000 - км 0+000</v>
      </c>
      <c r="BE31" s="176">
        <f t="shared" si="20"/>
        <v>0.5</v>
      </c>
      <c r="BF31" s="177" t="e">
        <f t="shared" ca="1" si="49"/>
        <v>#N/A</v>
      </c>
    </row>
    <row r="32" spans="1:58" ht="16.5" x14ac:dyDescent="0.25">
      <c r="A32" s="105">
        <f t="shared" si="23"/>
        <v>0</v>
      </c>
      <c r="B32" s="105"/>
      <c r="C32" s="106">
        <f t="shared" si="22"/>
        <v>0</v>
      </c>
      <c r="D32" s="107"/>
      <c r="E32" s="108"/>
      <c r="F32" s="108"/>
      <c r="G32" s="108"/>
      <c r="H32" s="108"/>
      <c r="I32" s="108"/>
      <c r="J32" s="108"/>
      <c r="K32" s="108"/>
      <c r="L32" s="108"/>
      <c r="M32" s="109"/>
      <c r="N32" s="142" t="str">
        <f>IFERROR(VLOOKUP($F32,Лист1!$A$4:$F$72,2,FALSE),"")</f>
        <v/>
      </c>
      <c r="O32" s="142" t="str">
        <f>IFERROR(VLOOKUP($G32,Лист1!$A$4:$F$72,2,FALSE),"")</f>
        <v/>
      </c>
      <c r="P32" s="110" t="str">
        <f>IFERROR(VLOOKUP($H32,Лист1!$A$4:$F$72,2,FALSE),"")</f>
        <v/>
      </c>
      <c r="Q32" s="110" t="str">
        <f>IFERROR(VLOOKUP($I32,Лист1!$A$4:$F$72,2,FALSE),"")</f>
        <v/>
      </c>
      <c r="R32" s="110" t="str">
        <f>IFERROR(VLOOKUP($J32,Лист1!$A$4:$F$72,2,FALSE),"")</f>
        <v/>
      </c>
      <c r="S32" s="110" t="str">
        <f>IFERROR(VLOOKUP($K32,Лист1!$A$4:$F$72,2,FALSE),"")</f>
        <v/>
      </c>
      <c r="T32" s="110" t="str">
        <f>IFERROR(VLOOKUP($L32,Лист1!$A$4:$F$72,2,FALSE),"")</f>
        <v/>
      </c>
      <c r="U32" s="110" t="str">
        <f t="shared" si="0"/>
        <v/>
      </c>
      <c r="V32" s="143" t="str">
        <f>IFERROR(VLOOKUP($F32,Лист1!$A$4:$F$72,3,FALSE),"")</f>
        <v/>
      </c>
      <c r="W32" s="111" t="str">
        <f>IFERROR(VLOOKUP($G32,Лист1!$A$4:$F$72,3,FALSE),"")</f>
        <v/>
      </c>
      <c r="X32" s="111" t="str">
        <f>IFERROR(VLOOKUP($H32,Лист1!$A$4:$F$72,3,FALSE),"")</f>
        <v/>
      </c>
      <c r="Y32" s="111" t="str">
        <f>IFERROR(VLOOKUP($I32,Лист1!$A$4:$F$72,3,FALSE),"")</f>
        <v/>
      </c>
      <c r="Z32" s="111" t="str">
        <f>IFERROR(VLOOKUP($J32,Лист1!$A$4:$F$72,3,FALSE),"")</f>
        <v/>
      </c>
      <c r="AA32" s="111" t="str">
        <f>IFERROR(VLOOKUP($K32,Лист1!$A$4:$F$72,3,FALSE),"")</f>
        <v/>
      </c>
      <c r="AB32" s="111" t="str">
        <f>IFERROR(VLOOKUP($L32,Лист1!$A$4:$F$72,3,FALSE),"")</f>
        <v/>
      </c>
      <c r="AC32" s="111" t="str">
        <f>IFERROR(VLOOKUP($M32,Лист1!$A$4:$F$72,3,FALSE),"")</f>
        <v/>
      </c>
      <c r="AD32" s="147">
        <f t="shared" si="35"/>
        <v>0</v>
      </c>
      <c r="AE32" s="113">
        <f t="shared" si="36"/>
        <v>0</v>
      </c>
      <c r="AF32" s="114">
        <f t="shared" si="37"/>
        <v>0</v>
      </c>
      <c r="AG32" s="114">
        <f t="shared" si="38"/>
        <v>0</v>
      </c>
      <c r="AH32" s="114">
        <f t="shared" si="39"/>
        <v>0</v>
      </c>
      <c r="AI32" s="116">
        <f t="shared" si="40"/>
        <v>0</v>
      </c>
      <c r="AJ32" s="116" t="str">
        <f t="shared" si="7"/>
        <v>000</v>
      </c>
      <c r="AK32" s="116" t="str">
        <f t="shared" si="8"/>
        <v>000</v>
      </c>
      <c r="AL32" s="117"/>
      <c r="AM32" s="118" t="str">
        <f t="shared" si="41"/>
        <v>км 0+000 - км 0+000</v>
      </c>
      <c r="AN32" s="119" t="str">
        <f t="shared" si="10"/>
        <v/>
      </c>
      <c r="AO32" s="148" t="e">
        <f t="shared" si="11"/>
        <v>#VALUE!</v>
      </c>
      <c r="AP32" s="120">
        <f t="shared" si="42"/>
        <v>0</v>
      </c>
      <c r="AQ32" s="115">
        <f t="shared" si="43"/>
        <v>0</v>
      </c>
      <c r="AR32" s="121"/>
      <c r="AS32" s="122">
        <f t="shared" si="44"/>
        <v>0</v>
      </c>
      <c r="AT32" s="122">
        <f t="shared" si="45"/>
        <v>0</v>
      </c>
      <c r="AU32" s="123">
        <f t="shared" si="46"/>
        <v>0</v>
      </c>
      <c r="AV32" s="124">
        <f t="shared" si="47"/>
        <v>0</v>
      </c>
      <c r="AW32" s="124" t="str">
        <f t="shared" si="48"/>
        <v>-</v>
      </c>
      <c r="AX32" s="125"/>
      <c r="AY32" s="122" t="str">
        <f t="shared" si="16"/>
        <v>км 0+000 - км 0+000</v>
      </c>
      <c r="AZ32" s="124" t="str">
        <f t="shared" si="17"/>
        <v>-</v>
      </c>
      <c r="BA32" s="126">
        <f t="shared" si="18"/>
        <v>0.5</v>
      </c>
      <c r="BB32" s="125"/>
      <c r="BC32" s="125"/>
      <c r="BD32" s="123" t="str">
        <f t="shared" si="19"/>
        <v>км 0+000 - км 0+000</v>
      </c>
      <c r="BE32" s="126">
        <f t="shared" si="20"/>
        <v>0.5</v>
      </c>
      <c r="BF32" s="149" t="e">
        <f t="shared" ca="1" si="49"/>
        <v>#N/A</v>
      </c>
    </row>
    <row r="33" spans="1:58" ht="16.5" x14ac:dyDescent="0.25">
      <c r="A33" s="105">
        <f t="shared" si="23"/>
        <v>0</v>
      </c>
      <c r="B33" s="105"/>
      <c r="C33" s="106">
        <f t="shared" si="22"/>
        <v>0</v>
      </c>
      <c r="D33" s="150"/>
      <c r="E33" s="151"/>
      <c r="F33" s="151"/>
      <c r="G33" s="152"/>
      <c r="H33" s="152"/>
      <c r="I33" s="152"/>
      <c r="J33" s="152"/>
      <c r="K33" s="152"/>
      <c r="L33" s="152"/>
      <c r="M33" s="153"/>
      <c r="N33" s="154" t="str">
        <f>IFERROR(VLOOKUP($F33,Лист1!$A$4:$F$72,2,FALSE),"")</f>
        <v/>
      </c>
      <c r="O33" s="154" t="str">
        <f>IFERROR(VLOOKUP($G33,Лист1!$A$4:$F$72,2,FALSE),"")</f>
        <v/>
      </c>
      <c r="P33" s="155" t="str">
        <f>IFERROR(VLOOKUP($H33,Лист1!$A$4:$F$72,2,FALSE),"")</f>
        <v/>
      </c>
      <c r="Q33" s="155" t="str">
        <f>IFERROR(VLOOKUP($I33,Лист1!$A$4:$F$72,2,FALSE),"")</f>
        <v/>
      </c>
      <c r="R33" s="155" t="str">
        <f>IFERROR(VLOOKUP($J33,Лист1!$A$4:$F$72,2,FALSE),"")</f>
        <v/>
      </c>
      <c r="S33" s="155" t="str">
        <f>IFERROR(VLOOKUP($K33,Лист1!$A$4:$F$72,2,FALSE),"")</f>
        <v/>
      </c>
      <c r="T33" s="155" t="str">
        <f>IFERROR(VLOOKUP($L33,Лист1!$A$4:$F$72,2,FALSE),"")</f>
        <v/>
      </c>
      <c r="U33" s="155" t="str">
        <f t="shared" si="0"/>
        <v/>
      </c>
      <c r="V33" s="156" t="str">
        <f>IFERROR(VLOOKUP($F33,Лист1!$A$4:$F$72,3,FALSE),"")</f>
        <v/>
      </c>
      <c r="W33" s="157" t="str">
        <f>IFERROR(VLOOKUP($G33,Лист1!$A$4:$F$72,3,FALSE),"")</f>
        <v/>
      </c>
      <c r="X33" s="157" t="str">
        <f>IFERROR(VLOOKUP($H33,Лист1!$A$4:$F$72,3,FALSE),"")</f>
        <v/>
      </c>
      <c r="Y33" s="157" t="str">
        <f>IFERROR(VLOOKUP($I33,Лист1!$A$4:$F$72,3,FALSE),"")</f>
        <v/>
      </c>
      <c r="Z33" s="157" t="str">
        <f>IFERROR(VLOOKUP($J33,Лист1!$A$4:$F$72,3,FALSE),"")</f>
        <v/>
      </c>
      <c r="AA33" s="157" t="str">
        <f>IFERROR(VLOOKUP($K33,Лист1!$A$4:$F$72,3,FALSE),"")</f>
        <v/>
      </c>
      <c r="AB33" s="157" t="str">
        <f>IFERROR(VLOOKUP($L33,Лист1!$A$4:$F$72,3,FALSE),"")</f>
        <v/>
      </c>
      <c r="AC33" s="157" t="str">
        <f>IFERROR(VLOOKUP($M33,Лист1!$A$4:$F$72,3,FALSE),"")</f>
        <v/>
      </c>
      <c r="AD33" s="158">
        <f t="shared" si="35"/>
        <v>0</v>
      </c>
      <c r="AE33" s="159">
        <f t="shared" si="36"/>
        <v>0</v>
      </c>
      <c r="AF33" s="160">
        <f t="shared" si="37"/>
        <v>0</v>
      </c>
      <c r="AG33" s="160">
        <f t="shared" si="38"/>
        <v>0</v>
      </c>
      <c r="AH33" s="160">
        <f t="shared" si="39"/>
        <v>0</v>
      </c>
      <c r="AI33" s="161">
        <f t="shared" si="40"/>
        <v>0</v>
      </c>
      <c r="AJ33" s="161" t="str">
        <f t="shared" si="7"/>
        <v>000</v>
      </c>
      <c r="AK33" s="161" t="str">
        <f t="shared" si="8"/>
        <v>000</v>
      </c>
      <c r="AL33" s="162"/>
      <c r="AM33" s="163" t="str">
        <f t="shared" si="41"/>
        <v>км 0+000 - км 0+000</v>
      </c>
      <c r="AN33" s="164" t="str">
        <f t="shared" si="10"/>
        <v/>
      </c>
      <c r="AO33" s="165" t="e">
        <f t="shared" si="11"/>
        <v>#VALUE!</v>
      </c>
      <c r="AP33" s="166">
        <f t="shared" si="42"/>
        <v>0</v>
      </c>
      <c r="AQ33" s="167">
        <f t="shared" si="43"/>
        <v>0</v>
      </c>
      <c r="AR33" s="168"/>
      <c r="AS33" s="169">
        <f t="shared" si="44"/>
        <v>0</v>
      </c>
      <c r="AT33" s="169">
        <f t="shared" si="45"/>
        <v>0</v>
      </c>
      <c r="AU33" s="170">
        <f t="shared" si="46"/>
        <v>0</v>
      </c>
      <c r="AV33" s="171">
        <f t="shared" si="47"/>
        <v>0</v>
      </c>
      <c r="AW33" s="171" t="str">
        <f t="shared" si="48"/>
        <v>-</v>
      </c>
      <c r="AX33" s="172"/>
      <c r="AY33" s="173" t="str">
        <f t="shared" si="16"/>
        <v>км 0+000 - км 0+000</v>
      </c>
      <c r="AZ33" s="174" t="str">
        <f t="shared" si="17"/>
        <v>-</v>
      </c>
      <c r="BA33" s="175">
        <f t="shared" si="18"/>
        <v>0.5</v>
      </c>
      <c r="BB33" s="172"/>
      <c r="BC33" s="172"/>
      <c r="BD33" s="170" t="str">
        <f t="shared" si="19"/>
        <v>км 0+000 - км 0+000</v>
      </c>
      <c r="BE33" s="176">
        <f t="shared" si="20"/>
        <v>0.5</v>
      </c>
      <c r="BF33" s="177" t="e">
        <f t="shared" ca="1" si="49"/>
        <v>#N/A</v>
      </c>
    </row>
    <row r="34" spans="1:58" ht="16.5" x14ac:dyDescent="0.25">
      <c r="A34" s="105">
        <f t="shared" si="23"/>
        <v>0</v>
      </c>
      <c r="B34" s="105"/>
      <c r="C34" s="106">
        <f t="shared" si="22"/>
        <v>0</v>
      </c>
      <c r="D34" s="107"/>
      <c r="E34" s="108"/>
      <c r="F34" s="108"/>
      <c r="G34" s="108"/>
      <c r="H34" s="108"/>
      <c r="I34" s="108"/>
      <c r="J34" s="108"/>
      <c r="K34" s="108"/>
      <c r="L34" s="108"/>
      <c r="M34" s="109"/>
      <c r="N34" s="142" t="str">
        <f>IFERROR(VLOOKUP($F34,Лист1!$A$4:$F$72,2,FALSE),"")</f>
        <v/>
      </c>
      <c r="O34" s="142" t="str">
        <f>IFERROR(VLOOKUP($G34,Лист1!$A$4:$F$72,2,FALSE),"")</f>
        <v/>
      </c>
      <c r="P34" s="110" t="str">
        <f>IFERROR(VLOOKUP($H34,Лист1!$A$4:$F$72,2,FALSE),"")</f>
        <v/>
      </c>
      <c r="Q34" s="110" t="str">
        <f>IFERROR(VLOOKUP($I34,Лист1!$A$4:$F$72,2,FALSE),"")</f>
        <v/>
      </c>
      <c r="R34" s="110" t="str">
        <f>IFERROR(VLOOKUP($J34,Лист1!$A$4:$F$72,2,FALSE),"")</f>
        <v/>
      </c>
      <c r="S34" s="110" t="str">
        <f>IFERROR(VLOOKUP($K34,Лист1!$A$4:$F$72,2,FALSE),"")</f>
        <v/>
      </c>
      <c r="T34" s="110" t="str">
        <f>IFERROR(VLOOKUP($L34,Лист1!$A$4:$F$72,2,FALSE),"")</f>
        <v/>
      </c>
      <c r="U34" s="110" t="str">
        <f t="shared" si="0"/>
        <v/>
      </c>
      <c r="V34" s="143" t="str">
        <f>IFERROR(VLOOKUP($F34,Лист1!$A$4:$F$72,3,FALSE),"")</f>
        <v/>
      </c>
      <c r="W34" s="111" t="str">
        <f>IFERROR(VLOOKUP($G34,Лист1!$A$4:$F$72,3,FALSE),"")</f>
        <v/>
      </c>
      <c r="X34" s="111" t="str">
        <f>IFERROR(VLOOKUP($H34,Лист1!$A$4:$F$72,3,FALSE),"")</f>
        <v/>
      </c>
      <c r="Y34" s="111" t="str">
        <f>IFERROR(VLOOKUP($I34,Лист1!$A$4:$F$72,3,FALSE),"")</f>
        <v/>
      </c>
      <c r="Z34" s="111" t="str">
        <f>IFERROR(VLOOKUP($J34,Лист1!$A$4:$F$72,3,FALSE),"")</f>
        <v/>
      </c>
      <c r="AA34" s="111" t="str">
        <f>IFERROR(VLOOKUP($K34,Лист1!$A$4:$F$72,3,FALSE),"")</f>
        <v/>
      </c>
      <c r="AB34" s="111" t="str">
        <f>IFERROR(VLOOKUP($L34,Лист1!$A$4:$F$72,3,FALSE),"")</f>
        <v/>
      </c>
      <c r="AC34" s="111" t="str">
        <f>IFERROR(VLOOKUP($M34,Лист1!$A$4:$F$72,3,FALSE),"")</f>
        <v/>
      </c>
      <c r="AD34" s="147">
        <f t="shared" si="35"/>
        <v>0</v>
      </c>
      <c r="AE34" s="113">
        <f t="shared" si="36"/>
        <v>0</v>
      </c>
      <c r="AF34" s="114">
        <f t="shared" si="37"/>
        <v>0</v>
      </c>
      <c r="AG34" s="114">
        <f t="shared" si="38"/>
        <v>0</v>
      </c>
      <c r="AH34" s="114">
        <f t="shared" si="39"/>
        <v>0</v>
      </c>
      <c r="AI34" s="116">
        <f t="shared" si="40"/>
        <v>0</v>
      </c>
      <c r="AJ34" s="116" t="str">
        <f t="shared" si="7"/>
        <v>000</v>
      </c>
      <c r="AK34" s="116" t="str">
        <f t="shared" si="8"/>
        <v>000</v>
      </c>
      <c r="AL34" s="117"/>
      <c r="AM34" s="118" t="str">
        <f t="shared" si="41"/>
        <v>км 0+000 - км 0+000</v>
      </c>
      <c r="AN34" s="119" t="str">
        <f t="shared" si="10"/>
        <v/>
      </c>
      <c r="AO34" s="148" t="e">
        <f t="shared" si="11"/>
        <v>#VALUE!</v>
      </c>
      <c r="AP34" s="120">
        <f t="shared" si="42"/>
        <v>0</v>
      </c>
      <c r="AQ34" s="115">
        <f t="shared" si="43"/>
        <v>0</v>
      </c>
      <c r="AR34" s="121"/>
      <c r="AS34" s="122">
        <f t="shared" si="44"/>
        <v>0</v>
      </c>
      <c r="AT34" s="122">
        <f t="shared" si="45"/>
        <v>0</v>
      </c>
      <c r="AU34" s="123">
        <f t="shared" si="46"/>
        <v>0</v>
      </c>
      <c r="AV34" s="124">
        <f t="shared" si="47"/>
        <v>0</v>
      </c>
      <c r="AW34" s="124" t="str">
        <f t="shared" si="48"/>
        <v>-</v>
      </c>
      <c r="AX34" s="125"/>
      <c r="AY34" s="122" t="str">
        <f t="shared" si="16"/>
        <v>км 0+000 - км 0+000</v>
      </c>
      <c r="AZ34" s="124" t="str">
        <f t="shared" si="17"/>
        <v>-</v>
      </c>
      <c r="BA34" s="126">
        <f t="shared" si="18"/>
        <v>0.5</v>
      </c>
      <c r="BB34" s="125"/>
      <c r="BC34" s="125"/>
      <c r="BD34" s="123" t="str">
        <f t="shared" si="19"/>
        <v>км 0+000 - км 0+000</v>
      </c>
      <c r="BE34" s="126">
        <f t="shared" si="20"/>
        <v>0.5</v>
      </c>
      <c r="BF34" s="149" t="e">
        <f t="shared" ca="1" si="49"/>
        <v>#N/A</v>
      </c>
    </row>
    <row r="35" spans="1:58" ht="16.5" x14ac:dyDescent="0.25">
      <c r="A35" s="105">
        <f t="shared" si="23"/>
        <v>0</v>
      </c>
      <c r="B35" s="105"/>
      <c r="C35" s="106">
        <f t="shared" si="22"/>
        <v>0</v>
      </c>
      <c r="D35" s="150"/>
      <c r="E35" s="151"/>
      <c r="F35" s="151"/>
      <c r="G35" s="152"/>
      <c r="H35" s="152"/>
      <c r="I35" s="152"/>
      <c r="J35" s="152"/>
      <c r="K35" s="152"/>
      <c r="L35" s="152"/>
      <c r="M35" s="153"/>
      <c r="N35" s="154" t="str">
        <f>IFERROR(VLOOKUP($F35,Лист1!$A$4:$F$72,2,FALSE),"")</f>
        <v/>
      </c>
      <c r="O35" s="154" t="str">
        <f>IFERROR(VLOOKUP($G35,Лист1!$A$4:$F$72,2,FALSE),"")</f>
        <v/>
      </c>
      <c r="P35" s="155" t="str">
        <f>IFERROR(VLOOKUP($H35,Лист1!$A$4:$F$72,2,FALSE),"")</f>
        <v/>
      </c>
      <c r="Q35" s="155" t="str">
        <f>IFERROR(VLOOKUP($I35,Лист1!$A$4:$F$72,2,FALSE),"")</f>
        <v/>
      </c>
      <c r="R35" s="155" t="str">
        <f>IFERROR(VLOOKUP($J35,Лист1!$A$4:$F$72,2,FALSE),"")</f>
        <v/>
      </c>
      <c r="S35" s="155" t="str">
        <f>IFERROR(VLOOKUP($K35,Лист1!$A$4:$F$72,2,FALSE),"")</f>
        <v/>
      </c>
      <c r="T35" s="155" t="str">
        <f>IFERROR(VLOOKUP($L35,Лист1!$A$4:$F$72,2,FALSE),"")</f>
        <v/>
      </c>
      <c r="U35" s="155" t="str">
        <f t="shared" si="0"/>
        <v/>
      </c>
      <c r="V35" s="156" t="str">
        <f>IFERROR(VLOOKUP($F35,Лист1!$A$4:$F$72,3,FALSE),"")</f>
        <v/>
      </c>
      <c r="W35" s="157" t="str">
        <f>IFERROR(VLOOKUP($G35,Лист1!$A$4:$F$72,3,FALSE),"")</f>
        <v/>
      </c>
      <c r="X35" s="157" t="str">
        <f>IFERROR(VLOOKUP($H35,Лист1!$A$4:$F$72,3,FALSE),"")</f>
        <v/>
      </c>
      <c r="Y35" s="157" t="str">
        <f>IFERROR(VLOOKUP($I35,Лист1!$A$4:$F$72,3,FALSE),"")</f>
        <v/>
      </c>
      <c r="Z35" s="157" t="str">
        <f>IFERROR(VLOOKUP($J35,Лист1!$A$4:$F$72,3,FALSE),"")</f>
        <v/>
      </c>
      <c r="AA35" s="157" t="str">
        <f>IFERROR(VLOOKUP($K35,Лист1!$A$4:$F$72,3,FALSE),"")</f>
        <v/>
      </c>
      <c r="AB35" s="157" t="str">
        <f>IFERROR(VLOOKUP($L35,Лист1!$A$4:$F$72,3,FALSE),"")</f>
        <v/>
      </c>
      <c r="AC35" s="157" t="str">
        <f>IFERROR(VLOOKUP($M35,Лист1!$A$4:$F$72,3,FALSE),"")</f>
        <v/>
      </c>
      <c r="AD35" s="158">
        <f t="shared" si="35"/>
        <v>0</v>
      </c>
      <c r="AE35" s="159">
        <f t="shared" si="36"/>
        <v>0</v>
      </c>
      <c r="AF35" s="160">
        <f t="shared" si="37"/>
        <v>0</v>
      </c>
      <c r="AG35" s="160">
        <f t="shared" si="38"/>
        <v>0</v>
      </c>
      <c r="AH35" s="160">
        <f t="shared" si="39"/>
        <v>0</v>
      </c>
      <c r="AI35" s="161">
        <f t="shared" si="40"/>
        <v>0</v>
      </c>
      <c r="AJ35" s="161" t="str">
        <f t="shared" si="7"/>
        <v>000</v>
      </c>
      <c r="AK35" s="161" t="str">
        <f t="shared" si="8"/>
        <v>000</v>
      </c>
      <c r="AL35" s="162"/>
      <c r="AM35" s="163" t="str">
        <f t="shared" si="41"/>
        <v>км 0+000 - км 0+000</v>
      </c>
      <c r="AN35" s="164" t="str">
        <f t="shared" si="10"/>
        <v/>
      </c>
      <c r="AO35" s="165" t="e">
        <f t="shared" si="11"/>
        <v>#VALUE!</v>
      </c>
      <c r="AP35" s="166">
        <f t="shared" si="42"/>
        <v>0</v>
      </c>
      <c r="AQ35" s="167">
        <f t="shared" si="43"/>
        <v>0</v>
      </c>
      <c r="AR35" s="168"/>
      <c r="AS35" s="169">
        <f t="shared" si="44"/>
        <v>0</v>
      </c>
      <c r="AT35" s="169">
        <f t="shared" si="45"/>
        <v>0</v>
      </c>
      <c r="AU35" s="170">
        <f t="shared" si="46"/>
        <v>0</v>
      </c>
      <c r="AV35" s="171">
        <f t="shared" si="47"/>
        <v>0</v>
      </c>
      <c r="AW35" s="171" t="str">
        <f t="shared" si="48"/>
        <v>-</v>
      </c>
      <c r="AX35" s="172"/>
      <c r="AY35" s="173" t="str">
        <f t="shared" si="16"/>
        <v>км 0+000 - км 0+000</v>
      </c>
      <c r="AZ35" s="174" t="str">
        <f t="shared" si="17"/>
        <v>-</v>
      </c>
      <c r="BA35" s="175">
        <f t="shared" si="18"/>
        <v>0.5</v>
      </c>
      <c r="BB35" s="172"/>
      <c r="BC35" s="172"/>
      <c r="BD35" s="170" t="str">
        <f t="shared" si="19"/>
        <v>км 0+000 - км 0+000</v>
      </c>
      <c r="BE35" s="176">
        <f t="shared" si="20"/>
        <v>0.5</v>
      </c>
      <c r="BF35" s="177" t="e">
        <f t="shared" ca="1" si="49"/>
        <v>#N/A</v>
      </c>
    </row>
    <row r="36" spans="1:58" ht="16.5" x14ac:dyDescent="0.25">
      <c r="A36" s="105">
        <f t="shared" si="23"/>
        <v>0</v>
      </c>
      <c r="B36" s="105"/>
      <c r="C36" s="106">
        <f t="shared" si="22"/>
        <v>0</v>
      </c>
      <c r="D36" s="107"/>
      <c r="E36" s="108"/>
      <c r="F36" s="108"/>
      <c r="G36" s="108"/>
      <c r="H36" s="108"/>
      <c r="I36" s="108"/>
      <c r="J36" s="108"/>
      <c r="K36" s="108"/>
      <c r="L36" s="108"/>
      <c r="M36" s="109"/>
      <c r="N36" s="142" t="str">
        <f>IFERROR(VLOOKUP($F36,Лист1!$A$4:$F$72,2,FALSE),"")</f>
        <v/>
      </c>
      <c r="O36" s="142" t="str">
        <f>IFERROR(VLOOKUP($G36,Лист1!$A$4:$F$72,2,FALSE),"")</f>
        <v/>
      </c>
      <c r="P36" s="110" t="str">
        <f>IFERROR(VLOOKUP($H36,Лист1!$A$4:$F$72,2,FALSE),"")</f>
        <v/>
      </c>
      <c r="Q36" s="110" t="str">
        <f>IFERROR(VLOOKUP($I36,Лист1!$A$4:$F$72,2,FALSE),"")</f>
        <v/>
      </c>
      <c r="R36" s="110" t="str">
        <f>IFERROR(VLOOKUP($J36,Лист1!$A$4:$F$72,2,FALSE),"")</f>
        <v/>
      </c>
      <c r="S36" s="110" t="str">
        <f>IFERROR(VLOOKUP($K36,Лист1!$A$4:$F$72,2,FALSE),"")</f>
        <v/>
      </c>
      <c r="T36" s="110" t="str">
        <f>IFERROR(VLOOKUP($L36,Лист1!$A$4:$F$72,2,FALSE),"")</f>
        <v/>
      </c>
      <c r="U36" s="110" t="str">
        <f t="shared" si="0"/>
        <v/>
      </c>
      <c r="V36" s="143" t="str">
        <f>IFERROR(VLOOKUP($F36,Лист1!$A$4:$F$72,3,FALSE),"")</f>
        <v/>
      </c>
      <c r="W36" s="111" t="str">
        <f>IFERROR(VLOOKUP($G36,Лист1!$A$4:$F$72,3,FALSE),"")</f>
        <v/>
      </c>
      <c r="X36" s="111" t="str">
        <f>IFERROR(VLOOKUP($H36,Лист1!$A$4:$F$72,3,FALSE),"")</f>
        <v/>
      </c>
      <c r="Y36" s="111" t="str">
        <f>IFERROR(VLOOKUP($I36,Лист1!$A$4:$F$72,3,FALSE),"")</f>
        <v/>
      </c>
      <c r="Z36" s="111" t="str">
        <f>IFERROR(VLOOKUP($J36,Лист1!$A$4:$F$72,3,FALSE),"")</f>
        <v/>
      </c>
      <c r="AA36" s="111" t="str">
        <f>IFERROR(VLOOKUP($K36,Лист1!$A$4:$F$72,3,FALSE),"")</f>
        <v/>
      </c>
      <c r="AB36" s="111" t="str">
        <f>IFERROR(VLOOKUP($L36,Лист1!$A$4:$F$72,3,FALSE),"")</f>
        <v/>
      </c>
      <c r="AC36" s="111" t="str">
        <f>IFERROR(VLOOKUP($M36,Лист1!$A$4:$F$72,3,FALSE),"")</f>
        <v/>
      </c>
      <c r="AD36" s="147">
        <f t="shared" si="35"/>
        <v>0</v>
      </c>
      <c r="AE36" s="113">
        <f t="shared" si="36"/>
        <v>0</v>
      </c>
      <c r="AF36" s="114">
        <f t="shared" si="37"/>
        <v>0</v>
      </c>
      <c r="AG36" s="114">
        <f t="shared" si="38"/>
        <v>0</v>
      </c>
      <c r="AH36" s="114">
        <f t="shared" si="39"/>
        <v>0</v>
      </c>
      <c r="AI36" s="116">
        <f t="shared" si="40"/>
        <v>0</v>
      </c>
      <c r="AJ36" s="116" t="str">
        <f t="shared" si="7"/>
        <v>000</v>
      </c>
      <c r="AK36" s="116" t="str">
        <f t="shared" si="8"/>
        <v>000</v>
      </c>
      <c r="AL36" s="117"/>
      <c r="AM36" s="118" t="str">
        <f t="shared" si="41"/>
        <v>км 0+000 - км 0+000</v>
      </c>
      <c r="AN36" s="119" t="str">
        <f t="shared" si="10"/>
        <v/>
      </c>
      <c r="AO36" s="148" t="e">
        <f t="shared" si="11"/>
        <v>#VALUE!</v>
      </c>
      <c r="AP36" s="120">
        <f t="shared" si="42"/>
        <v>0</v>
      </c>
      <c r="AQ36" s="115">
        <f t="shared" si="43"/>
        <v>0</v>
      </c>
      <c r="AR36" s="121"/>
      <c r="AS36" s="122">
        <f t="shared" si="44"/>
        <v>0</v>
      </c>
      <c r="AT36" s="122">
        <f t="shared" si="45"/>
        <v>0</v>
      </c>
      <c r="AU36" s="123">
        <f t="shared" si="46"/>
        <v>0</v>
      </c>
      <c r="AV36" s="124">
        <f t="shared" si="47"/>
        <v>0</v>
      </c>
      <c r="AW36" s="124" t="str">
        <f t="shared" si="48"/>
        <v>-</v>
      </c>
      <c r="AX36" s="125"/>
      <c r="AY36" s="122" t="str">
        <f t="shared" si="16"/>
        <v>км 0+000 - км 0+000</v>
      </c>
      <c r="AZ36" s="124" t="str">
        <f t="shared" si="17"/>
        <v>-</v>
      </c>
      <c r="BA36" s="126">
        <f t="shared" si="18"/>
        <v>0.5</v>
      </c>
      <c r="BB36" s="125"/>
      <c r="BC36" s="125"/>
      <c r="BD36" s="123" t="str">
        <f t="shared" si="19"/>
        <v>км 0+000 - км 0+000</v>
      </c>
      <c r="BE36" s="126">
        <f t="shared" si="20"/>
        <v>0.5</v>
      </c>
      <c r="BF36" s="149" t="e">
        <f t="shared" ca="1" si="49"/>
        <v>#N/A</v>
      </c>
    </row>
    <row r="37" spans="1:58" ht="16.5" x14ac:dyDescent="0.25">
      <c r="A37" s="105">
        <f t="shared" si="23"/>
        <v>0</v>
      </c>
      <c r="B37" s="105"/>
      <c r="C37" s="106">
        <f t="shared" si="22"/>
        <v>0</v>
      </c>
      <c r="D37" s="150"/>
      <c r="E37" s="151"/>
      <c r="F37" s="151"/>
      <c r="G37" s="152"/>
      <c r="H37" s="152"/>
      <c r="I37" s="152"/>
      <c r="J37" s="152"/>
      <c r="K37" s="152"/>
      <c r="L37" s="152"/>
      <c r="M37" s="153"/>
      <c r="N37" s="154" t="str">
        <f>IFERROR(VLOOKUP($F37,Лист1!$A$4:$F$72,2,FALSE),"")</f>
        <v/>
      </c>
      <c r="O37" s="154" t="str">
        <f>IFERROR(VLOOKUP($G37,Лист1!$A$4:$F$72,2,FALSE),"")</f>
        <v/>
      </c>
      <c r="P37" s="155" t="str">
        <f>IFERROR(VLOOKUP($H37,Лист1!$A$4:$F$72,2,FALSE),"")</f>
        <v/>
      </c>
      <c r="Q37" s="155" t="str">
        <f>IFERROR(VLOOKUP($I37,Лист1!$A$4:$F$72,2,FALSE),"")</f>
        <v/>
      </c>
      <c r="R37" s="155" t="str">
        <f>IFERROR(VLOOKUP($J37,Лист1!$A$4:$F$72,2,FALSE),"")</f>
        <v/>
      </c>
      <c r="S37" s="155" t="str">
        <f>IFERROR(VLOOKUP($K37,Лист1!$A$4:$F$72,2,FALSE),"")</f>
        <v/>
      </c>
      <c r="T37" s="155" t="str">
        <f>IFERROR(VLOOKUP($L37,Лист1!$A$4:$F$72,2,FALSE),"")</f>
        <v/>
      </c>
      <c r="U37" s="155" t="str">
        <f t="shared" si="0"/>
        <v/>
      </c>
      <c r="V37" s="156" t="str">
        <f>IFERROR(VLOOKUP($F37,Лист1!$A$4:$F$72,3,FALSE),"")</f>
        <v/>
      </c>
      <c r="W37" s="157" t="str">
        <f>IFERROR(VLOOKUP($G37,Лист1!$A$4:$F$72,3,FALSE),"")</f>
        <v/>
      </c>
      <c r="X37" s="157" t="str">
        <f>IFERROR(VLOOKUP($H37,Лист1!$A$4:$F$72,3,FALSE),"")</f>
        <v/>
      </c>
      <c r="Y37" s="157" t="str">
        <f>IFERROR(VLOOKUP($I37,Лист1!$A$4:$F$72,3,FALSE),"")</f>
        <v/>
      </c>
      <c r="Z37" s="157" t="str">
        <f>IFERROR(VLOOKUP($J37,Лист1!$A$4:$F$72,3,FALSE),"")</f>
        <v/>
      </c>
      <c r="AA37" s="157" t="str">
        <f>IFERROR(VLOOKUP($K37,Лист1!$A$4:$F$72,3,FALSE),"")</f>
        <v/>
      </c>
      <c r="AB37" s="157" t="str">
        <f>IFERROR(VLOOKUP($L37,Лист1!$A$4:$F$72,3,FALSE),"")</f>
        <v/>
      </c>
      <c r="AC37" s="157" t="str">
        <f>IFERROR(VLOOKUP($M37,Лист1!$A$4:$F$72,3,FALSE),"")</f>
        <v/>
      </c>
      <c r="AD37" s="158">
        <f t="shared" si="35"/>
        <v>0</v>
      </c>
      <c r="AE37" s="159">
        <f t="shared" si="36"/>
        <v>0</v>
      </c>
      <c r="AF37" s="160">
        <f t="shared" si="37"/>
        <v>0</v>
      </c>
      <c r="AG37" s="160">
        <f t="shared" si="38"/>
        <v>0</v>
      </c>
      <c r="AH37" s="160">
        <f t="shared" si="39"/>
        <v>0</v>
      </c>
      <c r="AI37" s="161">
        <f t="shared" si="40"/>
        <v>0</v>
      </c>
      <c r="AJ37" s="161" t="str">
        <f t="shared" si="7"/>
        <v>000</v>
      </c>
      <c r="AK37" s="161" t="str">
        <f t="shared" si="8"/>
        <v>000</v>
      </c>
      <c r="AL37" s="162"/>
      <c r="AM37" s="163" t="str">
        <f t="shared" si="41"/>
        <v>км 0+000 - км 0+000</v>
      </c>
      <c r="AN37" s="164" t="str">
        <f t="shared" si="10"/>
        <v/>
      </c>
      <c r="AO37" s="165" t="e">
        <f t="shared" si="11"/>
        <v>#VALUE!</v>
      </c>
      <c r="AP37" s="166">
        <f t="shared" si="42"/>
        <v>0</v>
      </c>
      <c r="AQ37" s="167">
        <f t="shared" si="43"/>
        <v>0</v>
      </c>
      <c r="AR37" s="168"/>
      <c r="AS37" s="169">
        <f t="shared" si="44"/>
        <v>0</v>
      </c>
      <c r="AT37" s="169">
        <f t="shared" si="45"/>
        <v>0</v>
      </c>
      <c r="AU37" s="170">
        <f t="shared" si="46"/>
        <v>0</v>
      </c>
      <c r="AV37" s="171">
        <f t="shared" si="47"/>
        <v>0</v>
      </c>
      <c r="AW37" s="171" t="str">
        <f t="shared" si="48"/>
        <v>-</v>
      </c>
      <c r="AX37" s="172"/>
      <c r="AY37" s="173" t="str">
        <f t="shared" si="16"/>
        <v>км 0+000 - км 0+000</v>
      </c>
      <c r="AZ37" s="174" t="str">
        <f t="shared" si="17"/>
        <v>-</v>
      </c>
      <c r="BA37" s="175">
        <f t="shared" si="18"/>
        <v>0.5</v>
      </c>
      <c r="BB37" s="172"/>
      <c r="BC37" s="172"/>
      <c r="BD37" s="170" t="str">
        <f t="shared" si="19"/>
        <v>км 0+000 - км 0+000</v>
      </c>
      <c r="BE37" s="176">
        <f t="shared" si="20"/>
        <v>0.5</v>
      </c>
      <c r="BF37" s="177" t="e">
        <f t="shared" ca="1" si="49"/>
        <v>#N/A</v>
      </c>
    </row>
    <row r="38" spans="1:58" ht="16.5" x14ac:dyDescent="0.25">
      <c r="A38" s="105">
        <f t="shared" si="23"/>
        <v>0</v>
      </c>
      <c r="B38" s="105"/>
      <c r="C38" s="106">
        <f t="shared" si="22"/>
        <v>0</v>
      </c>
      <c r="D38" s="107"/>
      <c r="E38" s="108"/>
      <c r="F38" s="108"/>
      <c r="G38" s="108"/>
      <c r="H38" s="108"/>
      <c r="I38" s="108"/>
      <c r="J38" s="108"/>
      <c r="K38" s="108"/>
      <c r="L38" s="108"/>
      <c r="M38" s="109"/>
      <c r="N38" s="142" t="str">
        <f>IFERROR(VLOOKUP($F38,Лист1!$A$4:$F$72,2,FALSE),"")</f>
        <v/>
      </c>
      <c r="O38" s="142" t="str">
        <f>IFERROR(VLOOKUP($G38,Лист1!$A$4:$F$72,2,FALSE),"")</f>
        <v/>
      </c>
      <c r="P38" s="110" t="str">
        <f>IFERROR(VLOOKUP($H38,Лист1!$A$4:$F$72,2,FALSE),"")</f>
        <v/>
      </c>
      <c r="Q38" s="110" t="str">
        <f>IFERROR(VLOOKUP($I38,Лист1!$A$4:$F$72,2,FALSE),"")</f>
        <v/>
      </c>
      <c r="R38" s="110" t="str">
        <f>IFERROR(VLOOKUP($J38,Лист1!$A$4:$F$72,2,FALSE),"")</f>
        <v/>
      </c>
      <c r="S38" s="110" t="str">
        <f>IFERROR(VLOOKUP($K38,Лист1!$A$4:$F$72,2,FALSE),"")</f>
        <v/>
      </c>
      <c r="T38" s="110" t="str">
        <f>IFERROR(VLOOKUP($L38,Лист1!$A$4:$F$72,2,FALSE),"")</f>
        <v/>
      </c>
      <c r="U38" s="110" t="str">
        <f t="shared" si="0"/>
        <v/>
      </c>
      <c r="V38" s="143" t="str">
        <f>IFERROR(VLOOKUP($F38,Лист1!$A$4:$F$72,3,FALSE),"")</f>
        <v/>
      </c>
      <c r="W38" s="111" t="str">
        <f>IFERROR(VLOOKUP($G38,Лист1!$A$4:$F$72,3,FALSE),"")</f>
        <v/>
      </c>
      <c r="X38" s="111" t="str">
        <f>IFERROR(VLOOKUP($H38,Лист1!$A$4:$F$72,3,FALSE),"")</f>
        <v/>
      </c>
      <c r="Y38" s="111" t="str">
        <f>IFERROR(VLOOKUP($I38,Лист1!$A$4:$F$72,3,FALSE),"")</f>
        <v/>
      </c>
      <c r="Z38" s="111" t="str">
        <f>IFERROR(VLOOKUP($J38,Лист1!$A$4:$F$72,3,FALSE),"")</f>
        <v/>
      </c>
      <c r="AA38" s="111" t="str">
        <f>IFERROR(VLOOKUP($K38,Лист1!$A$4:$F$72,3,FALSE),"")</f>
        <v/>
      </c>
      <c r="AB38" s="111" t="str">
        <f>IFERROR(VLOOKUP($L38,Лист1!$A$4:$F$72,3,FALSE),"")</f>
        <v/>
      </c>
      <c r="AC38" s="111" t="str">
        <f>IFERROR(VLOOKUP($M38,Лист1!$A$4:$F$72,3,FALSE),"")</f>
        <v/>
      </c>
      <c r="AD38" s="147">
        <f t="shared" si="35"/>
        <v>0</v>
      </c>
      <c r="AE38" s="113">
        <f t="shared" si="36"/>
        <v>0</v>
      </c>
      <c r="AF38" s="114">
        <f t="shared" si="37"/>
        <v>0</v>
      </c>
      <c r="AG38" s="114">
        <f t="shared" si="38"/>
        <v>0</v>
      </c>
      <c r="AH38" s="114">
        <f t="shared" si="39"/>
        <v>0</v>
      </c>
      <c r="AI38" s="116">
        <f t="shared" si="40"/>
        <v>0</v>
      </c>
      <c r="AJ38" s="116" t="str">
        <f t="shared" si="7"/>
        <v>000</v>
      </c>
      <c r="AK38" s="116" t="str">
        <f t="shared" si="8"/>
        <v>000</v>
      </c>
      <c r="AL38" s="117"/>
      <c r="AM38" s="118" t="str">
        <f t="shared" si="41"/>
        <v>км 0+000 - км 0+000</v>
      </c>
      <c r="AN38" s="119" t="str">
        <f t="shared" si="10"/>
        <v/>
      </c>
      <c r="AO38" s="148" t="e">
        <f t="shared" si="11"/>
        <v>#VALUE!</v>
      </c>
      <c r="AP38" s="120">
        <f t="shared" si="42"/>
        <v>0</v>
      </c>
      <c r="AQ38" s="115">
        <f t="shared" si="43"/>
        <v>0</v>
      </c>
      <c r="AR38" s="121"/>
      <c r="AS38" s="122">
        <f t="shared" si="44"/>
        <v>0</v>
      </c>
      <c r="AT38" s="122">
        <f t="shared" si="45"/>
        <v>0</v>
      </c>
      <c r="AU38" s="123">
        <f t="shared" si="46"/>
        <v>0</v>
      </c>
      <c r="AV38" s="124">
        <f t="shared" si="47"/>
        <v>0</v>
      </c>
      <c r="AW38" s="124" t="str">
        <f t="shared" si="48"/>
        <v>-</v>
      </c>
      <c r="AX38" s="125"/>
      <c r="AY38" s="122" t="str">
        <f t="shared" si="16"/>
        <v>км 0+000 - км 0+000</v>
      </c>
      <c r="AZ38" s="124" t="str">
        <f t="shared" si="17"/>
        <v>-</v>
      </c>
      <c r="BA38" s="126">
        <f t="shared" si="18"/>
        <v>0.5</v>
      </c>
      <c r="BB38" s="125"/>
      <c r="BC38" s="125"/>
      <c r="BD38" s="123" t="str">
        <f t="shared" si="19"/>
        <v>км 0+000 - км 0+000</v>
      </c>
      <c r="BE38" s="126">
        <f t="shared" si="20"/>
        <v>0.5</v>
      </c>
      <c r="BF38" s="149" t="e">
        <f t="shared" ca="1" si="49"/>
        <v>#N/A</v>
      </c>
    </row>
    <row r="39" spans="1:58" ht="16.5" x14ac:dyDescent="0.25">
      <c r="A39" s="105">
        <f t="shared" si="23"/>
        <v>0</v>
      </c>
      <c r="B39" s="105"/>
      <c r="C39" s="106">
        <f t="shared" si="22"/>
        <v>0</v>
      </c>
      <c r="D39" s="150"/>
      <c r="E39" s="151"/>
      <c r="F39" s="151"/>
      <c r="G39" s="152"/>
      <c r="H39" s="152"/>
      <c r="I39" s="152"/>
      <c r="J39" s="152"/>
      <c r="K39" s="152"/>
      <c r="L39" s="152"/>
      <c r="M39" s="153"/>
      <c r="N39" s="154" t="str">
        <f>IFERROR(VLOOKUP($F39,Лист1!$A$4:$F$72,2,FALSE),"")</f>
        <v/>
      </c>
      <c r="O39" s="154" t="str">
        <f>IFERROR(VLOOKUP($G39,Лист1!$A$4:$F$72,2,FALSE),"")</f>
        <v/>
      </c>
      <c r="P39" s="155" t="str">
        <f>IFERROR(VLOOKUP($H39,Лист1!$A$4:$F$72,2,FALSE),"")</f>
        <v/>
      </c>
      <c r="Q39" s="155" t="str">
        <f>IFERROR(VLOOKUP($I39,Лист1!$A$4:$F$72,2,FALSE),"")</f>
        <v/>
      </c>
      <c r="R39" s="155" t="str">
        <f>IFERROR(VLOOKUP($J39,Лист1!$A$4:$F$72,2,FALSE),"")</f>
        <v/>
      </c>
      <c r="S39" s="155" t="str">
        <f>IFERROR(VLOOKUP($K39,Лист1!$A$4:$F$72,2,FALSE),"")</f>
        <v/>
      </c>
      <c r="T39" s="155" t="str">
        <f>IFERROR(VLOOKUP($L39,Лист1!$A$4:$F$72,2,FALSE),"")</f>
        <v/>
      </c>
      <c r="U39" s="155" t="str">
        <f t="shared" si="0"/>
        <v/>
      </c>
      <c r="V39" s="156" t="str">
        <f>IFERROR(VLOOKUP($F39,Лист1!$A$4:$F$72,3,FALSE),"")</f>
        <v/>
      </c>
      <c r="W39" s="157" t="str">
        <f>IFERROR(VLOOKUP($G39,Лист1!$A$4:$F$72,3,FALSE),"")</f>
        <v/>
      </c>
      <c r="X39" s="157" t="str">
        <f>IFERROR(VLOOKUP($H39,Лист1!$A$4:$F$72,3,FALSE),"")</f>
        <v/>
      </c>
      <c r="Y39" s="157" t="str">
        <f>IFERROR(VLOOKUP($I39,Лист1!$A$4:$F$72,3,FALSE),"")</f>
        <v/>
      </c>
      <c r="Z39" s="157" t="str">
        <f>IFERROR(VLOOKUP($J39,Лист1!$A$4:$F$72,3,FALSE),"")</f>
        <v/>
      </c>
      <c r="AA39" s="157" t="str">
        <f>IFERROR(VLOOKUP($K39,Лист1!$A$4:$F$72,3,FALSE),"")</f>
        <v/>
      </c>
      <c r="AB39" s="157" t="str">
        <f>IFERROR(VLOOKUP($L39,Лист1!$A$4:$F$72,3,FALSE),"")</f>
        <v/>
      </c>
      <c r="AC39" s="157" t="str">
        <f>IFERROR(VLOOKUP($M39,Лист1!$A$4:$F$72,3,FALSE),"")</f>
        <v/>
      </c>
      <c r="AD39" s="158">
        <f t="shared" si="35"/>
        <v>0</v>
      </c>
      <c r="AE39" s="159">
        <f t="shared" si="36"/>
        <v>0</v>
      </c>
      <c r="AF39" s="160">
        <f t="shared" si="37"/>
        <v>0</v>
      </c>
      <c r="AG39" s="160">
        <f t="shared" si="38"/>
        <v>0</v>
      </c>
      <c r="AH39" s="160">
        <f t="shared" si="39"/>
        <v>0</v>
      </c>
      <c r="AI39" s="161">
        <f t="shared" si="40"/>
        <v>0</v>
      </c>
      <c r="AJ39" s="161" t="str">
        <f t="shared" si="7"/>
        <v>000</v>
      </c>
      <c r="AK39" s="161" t="str">
        <f t="shared" si="8"/>
        <v>000</v>
      </c>
      <c r="AL39" s="162"/>
      <c r="AM39" s="163" t="str">
        <f t="shared" si="41"/>
        <v>км 0+000 - км 0+000</v>
      </c>
      <c r="AN39" s="164" t="str">
        <f t="shared" si="10"/>
        <v/>
      </c>
      <c r="AO39" s="165" t="e">
        <f t="shared" si="11"/>
        <v>#VALUE!</v>
      </c>
      <c r="AP39" s="166">
        <f t="shared" si="42"/>
        <v>0</v>
      </c>
      <c r="AQ39" s="167">
        <f t="shared" si="43"/>
        <v>0</v>
      </c>
      <c r="AR39" s="168"/>
      <c r="AS39" s="169">
        <f t="shared" si="44"/>
        <v>0</v>
      </c>
      <c r="AT39" s="169">
        <f t="shared" si="45"/>
        <v>0</v>
      </c>
      <c r="AU39" s="170">
        <f t="shared" si="46"/>
        <v>0</v>
      </c>
      <c r="AV39" s="171">
        <f t="shared" si="47"/>
        <v>0</v>
      </c>
      <c r="AW39" s="171" t="str">
        <f t="shared" si="48"/>
        <v>-</v>
      </c>
      <c r="AX39" s="172"/>
      <c r="AY39" s="173" t="str">
        <f t="shared" si="16"/>
        <v>км 0+000 - км 0+000</v>
      </c>
      <c r="AZ39" s="174" t="str">
        <f t="shared" si="17"/>
        <v>-</v>
      </c>
      <c r="BA39" s="175">
        <f t="shared" si="18"/>
        <v>0.5</v>
      </c>
      <c r="BB39" s="172"/>
      <c r="BC39" s="172"/>
      <c r="BD39" s="170" t="str">
        <f t="shared" si="19"/>
        <v>км 0+000 - км 0+000</v>
      </c>
      <c r="BE39" s="176">
        <f t="shared" si="20"/>
        <v>0.5</v>
      </c>
      <c r="BF39" s="177" t="e">
        <f t="shared" ca="1" si="49"/>
        <v>#N/A</v>
      </c>
    </row>
    <row r="40" spans="1:58" ht="16.5" x14ac:dyDescent="0.25">
      <c r="A40" s="105">
        <f t="shared" si="23"/>
        <v>0</v>
      </c>
      <c r="B40" s="105"/>
      <c r="C40" s="106">
        <f t="shared" si="22"/>
        <v>0</v>
      </c>
      <c r="D40" s="107"/>
      <c r="E40" s="108"/>
      <c r="F40" s="108"/>
      <c r="G40" s="108"/>
      <c r="H40" s="108"/>
      <c r="I40" s="108"/>
      <c r="J40" s="108"/>
      <c r="K40" s="108"/>
      <c r="L40" s="108"/>
      <c r="M40" s="109"/>
      <c r="N40" s="142" t="str">
        <f>IFERROR(VLOOKUP($F40,Лист1!$A$4:$F$72,2,FALSE),"")</f>
        <v/>
      </c>
      <c r="O40" s="142" t="str">
        <f>IFERROR(VLOOKUP($G40,Лист1!$A$4:$F$72,2,FALSE),"")</f>
        <v/>
      </c>
      <c r="P40" s="110" t="str">
        <f>IFERROR(VLOOKUP($H40,Лист1!$A$4:$F$72,2,FALSE),"")</f>
        <v/>
      </c>
      <c r="Q40" s="110" t="str">
        <f>IFERROR(VLOOKUP($I40,Лист1!$A$4:$F$72,2,FALSE),"")</f>
        <v/>
      </c>
      <c r="R40" s="110" t="str">
        <f>IFERROR(VLOOKUP($J40,Лист1!$A$4:$F$72,2,FALSE),"")</f>
        <v/>
      </c>
      <c r="S40" s="110" t="str">
        <f>IFERROR(VLOOKUP($K40,Лист1!$A$4:$F$72,2,FALSE),"")</f>
        <v/>
      </c>
      <c r="T40" s="110" t="str">
        <f>IFERROR(VLOOKUP($L40,Лист1!$A$4:$F$72,2,FALSE),"")</f>
        <v/>
      </c>
      <c r="U40" s="110" t="str">
        <f t="shared" si="0"/>
        <v/>
      </c>
      <c r="V40" s="143" t="str">
        <f>IFERROR(VLOOKUP($F40,Лист1!$A$4:$F$72,3,FALSE),"")</f>
        <v/>
      </c>
      <c r="W40" s="111" t="str">
        <f>IFERROR(VLOOKUP($G40,Лист1!$A$4:$F$72,3,FALSE),"")</f>
        <v/>
      </c>
      <c r="X40" s="111" t="str">
        <f>IFERROR(VLOOKUP($H40,Лист1!$A$4:$F$72,3,FALSE),"")</f>
        <v/>
      </c>
      <c r="Y40" s="111" t="str">
        <f>IFERROR(VLOOKUP($I40,Лист1!$A$4:$F$72,3,FALSE),"")</f>
        <v/>
      </c>
      <c r="Z40" s="111" t="str">
        <f>IFERROR(VLOOKUP($J40,Лист1!$A$4:$F$72,3,FALSE),"")</f>
        <v/>
      </c>
      <c r="AA40" s="111" t="str">
        <f>IFERROR(VLOOKUP($K40,Лист1!$A$4:$F$72,3,FALSE),"")</f>
        <v/>
      </c>
      <c r="AB40" s="111" t="str">
        <f>IFERROR(VLOOKUP($L40,Лист1!$A$4:$F$72,3,FALSE),"")</f>
        <v/>
      </c>
      <c r="AC40" s="111" t="str">
        <f>IFERROR(VLOOKUP($M40,Лист1!$A$4:$F$72,3,FALSE),"")</f>
        <v/>
      </c>
      <c r="AD40" s="147">
        <f t="shared" si="35"/>
        <v>0</v>
      </c>
      <c r="AE40" s="113">
        <f t="shared" si="36"/>
        <v>0</v>
      </c>
      <c r="AF40" s="114">
        <f t="shared" si="37"/>
        <v>0</v>
      </c>
      <c r="AG40" s="114">
        <f t="shared" si="38"/>
        <v>0</v>
      </c>
      <c r="AH40" s="114">
        <f t="shared" si="39"/>
        <v>0</v>
      </c>
      <c r="AI40" s="116">
        <f t="shared" si="40"/>
        <v>0</v>
      </c>
      <c r="AJ40" s="116" t="str">
        <f t="shared" si="7"/>
        <v>000</v>
      </c>
      <c r="AK40" s="116" t="str">
        <f t="shared" si="8"/>
        <v>000</v>
      </c>
      <c r="AL40" s="117"/>
      <c r="AM40" s="118" t="str">
        <f t="shared" si="41"/>
        <v>км 0+000 - км 0+000</v>
      </c>
      <c r="AN40" s="119" t="str">
        <f t="shared" si="10"/>
        <v/>
      </c>
      <c r="AO40" s="148" t="e">
        <f t="shared" si="11"/>
        <v>#VALUE!</v>
      </c>
      <c r="AP40" s="120">
        <f t="shared" si="42"/>
        <v>0</v>
      </c>
      <c r="AQ40" s="115">
        <f t="shared" si="43"/>
        <v>0</v>
      </c>
      <c r="AR40" s="121"/>
      <c r="AS40" s="122">
        <f t="shared" si="44"/>
        <v>0</v>
      </c>
      <c r="AT40" s="122">
        <f t="shared" si="45"/>
        <v>0</v>
      </c>
      <c r="AU40" s="123">
        <f t="shared" si="46"/>
        <v>0</v>
      </c>
      <c r="AV40" s="124">
        <f t="shared" si="47"/>
        <v>0</v>
      </c>
      <c r="AW40" s="124" t="str">
        <f t="shared" si="48"/>
        <v>-</v>
      </c>
      <c r="AX40" s="125"/>
      <c r="AY40" s="122" t="str">
        <f t="shared" si="16"/>
        <v>км 0+000 - км 0+000</v>
      </c>
      <c r="AZ40" s="124" t="str">
        <f t="shared" si="17"/>
        <v>-</v>
      </c>
      <c r="BA40" s="126">
        <f t="shared" si="18"/>
        <v>0.5</v>
      </c>
      <c r="BB40" s="125"/>
      <c r="BC40" s="125"/>
      <c r="BD40" s="123" t="str">
        <f t="shared" si="19"/>
        <v>км 0+000 - км 0+000</v>
      </c>
      <c r="BE40" s="126">
        <f t="shared" si="20"/>
        <v>0.5</v>
      </c>
      <c r="BF40" s="149" t="e">
        <f t="shared" ca="1" si="49"/>
        <v>#N/A</v>
      </c>
    </row>
    <row r="41" spans="1:58" ht="16.5" x14ac:dyDescent="0.25">
      <c r="A41" s="105">
        <f t="shared" si="23"/>
        <v>0</v>
      </c>
      <c r="B41" s="105"/>
      <c r="C41" s="106">
        <f t="shared" si="22"/>
        <v>0</v>
      </c>
      <c r="D41" s="150"/>
      <c r="E41" s="151"/>
      <c r="F41" s="151"/>
      <c r="G41" s="152"/>
      <c r="H41" s="152"/>
      <c r="I41" s="152"/>
      <c r="J41" s="152"/>
      <c r="K41" s="152"/>
      <c r="L41" s="152"/>
      <c r="M41" s="153"/>
      <c r="N41" s="154" t="str">
        <f>IFERROR(VLOOKUP($F41,Лист1!$A$4:$F$72,2,FALSE),"")</f>
        <v/>
      </c>
      <c r="O41" s="154" t="str">
        <f>IFERROR(VLOOKUP($G41,Лист1!$A$4:$F$72,2,FALSE),"")</f>
        <v/>
      </c>
      <c r="P41" s="155" t="str">
        <f>IFERROR(VLOOKUP($H41,Лист1!$A$4:$F$72,2,FALSE),"")</f>
        <v/>
      </c>
      <c r="Q41" s="155" t="str">
        <f>IFERROR(VLOOKUP($I41,Лист1!$A$4:$F$72,2,FALSE),"")</f>
        <v/>
      </c>
      <c r="R41" s="155" t="str">
        <f>IFERROR(VLOOKUP($J41,Лист1!$A$4:$F$72,2,FALSE),"")</f>
        <v/>
      </c>
      <c r="S41" s="155" t="str">
        <f>IFERROR(VLOOKUP($K41,Лист1!$A$4:$F$72,2,FALSE),"")</f>
        <v/>
      </c>
      <c r="T41" s="155" t="str">
        <f>IFERROR(VLOOKUP($L41,Лист1!$A$4:$F$72,2,FALSE),"")</f>
        <v/>
      </c>
      <c r="U41" s="155" t="str">
        <f t="shared" si="0"/>
        <v/>
      </c>
      <c r="V41" s="156" t="str">
        <f>IFERROR(VLOOKUP($F41,Лист1!$A$4:$F$72,3,FALSE),"")</f>
        <v/>
      </c>
      <c r="W41" s="157" t="str">
        <f>IFERROR(VLOOKUP($G41,Лист1!$A$4:$F$72,3,FALSE),"")</f>
        <v/>
      </c>
      <c r="X41" s="157" t="str">
        <f>IFERROR(VLOOKUP($H41,Лист1!$A$4:$F$72,3,FALSE),"")</f>
        <v/>
      </c>
      <c r="Y41" s="157" t="str">
        <f>IFERROR(VLOOKUP($I41,Лист1!$A$4:$F$72,3,FALSE),"")</f>
        <v/>
      </c>
      <c r="Z41" s="157" t="str">
        <f>IFERROR(VLOOKUP($J41,Лист1!$A$4:$F$72,3,FALSE),"")</f>
        <v/>
      </c>
      <c r="AA41" s="157" t="str">
        <f>IFERROR(VLOOKUP($K41,Лист1!$A$4:$F$72,3,FALSE),"")</f>
        <v/>
      </c>
      <c r="AB41" s="157" t="str">
        <f>IFERROR(VLOOKUP($L41,Лист1!$A$4:$F$72,3,FALSE),"")</f>
        <v/>
      </c>
      <c r="AC41" s="157" t="str">
        <f>IFERROR(VLOOKUP($M41,Лист1!$A$4:$F$72,3,FALSE),"")</f>
        <v/>
      </c>
      <c r="AD41" s="158">
        <f t="shared" si="35"/>
        <v>0</v>
      </c>
      <c r="AE41" s="159">
        <f t="shared" si="36"/>
        <v>0</v>
      </c>
      <c r="AF41" s="160">
        <f t="shared" si="37"/>
        <v>0</v>
      </c>
      <c r="AG41" s="160">
        <f t="shared" si="38"/>
        <v>0</v>
      </c>
      <c r="AH41" s="160">
        <f t="shared" si="39"/>
        <v>0</v>
      </c>
      <c r="AI41" s="161">
        <f t="shared" si="40"/>
        <v>0</v>
      </c>
      <c r="AJ41" s="161" t="str">
        <f t="shared" si="7"/>
        <v>000</v>
      </c>
      <c r="AK41" s="161" t="str">
        <f t="shared" si="8"/>
        <v>000</v>
      </c>
      <c r="AL41" s="162"/>
      <c r="AM41" s="163" t="str">
        <f t="shared" si="41"/>
        <v>км 0+000 - км 0+000</v>
      </c>
      <c r="AN41" s="164" t="str">
        <f t="shared" si="10"/>
        <v/>
      </c>
      <c r="AO41" s="165" t="e">
        <f t="shared" si="11"/>
        <v>#VALUE!</v>
      </c>
      <c r="AP41" s="166">
        <f t="shared" si="42"/>
        <v>0</v>
      </c>
      <c r="AQ41" s="167">
        <f t="shared" si="43"/>
        <v>0</v>
      </c>
      <c r="AR41" s="168"/>
      <c r="AS41" s="169">
        <f t="shared" si="44"/>
        <v>0</v>
      </c>
      <c r="AT41" s="169">
        <f t="shared" si="45"/>
        <v>0</v>
      </c>
      <c r="AU41" s="170">
        <f t="shared" si="46"/>
        <v>0</v>
      </c>
      <c r="AV41" s="171">
        <f t="shared" si="47"/>
        <v>0</v>
      </c>
      <c r="AW41" s="171" t="str">
        <f t="shared" si="48"/>
        <v>-</v>
      </c>
      <c r="AX41" s="172"/>
      <c r="AY41" s="173" t="str">
        <f t="shared" si="16"/>
        <v>км 0+000 - км 0+000</v>
      </c>
      <c r="AZ41" s="174" t="str">
        <f t="shared" si="17"/>
        <v>-</v>
      </c>
      <c r="BA41" s="175">
        <f t="shared" si="18"/>
        <v>0.5</v>
      </c>
      <c r="BB41" s="172"/>
      <c r="BC41" s="172"/>
      <c r="BD41" s="170" t="str">
        <f t="shared" si="19"/>
        <v>км 0+000 - км 0+000</v>
      </c>
      <c r="BE41" s="176">
        <f t="shared" si="20"/>
        <v>0.5</v>
      </c>
      <c r="BF41" s="177" t="e">
        <f t="shared" ca="1" si="49"/>
        <v>#N/A</v>
      </c>
    </row>
    <row r="42" spans="1:58" ht="16.5" x14ac:dyDescent="0.25">
      <c r="A42" s="105">
        <f t="shared" si="23"/>
        <v>0</v>
      </c>
      <c r="B42" s="105"/>
      <c r="C42" s="106">
        <f t="shared" si="22"/>
        <v>0</v>
      </c>
      <c r="D42" s="107"/>
      <c r="E42" s="108"/>
      <c r="F42" s="108"/>
      <c r="G42" s="108"/>
      <c r="H42" s="108"/>
      <c r="I42" s="108"/>
      <c r="J42" s="108"/>
      <c r="K42" s="108"/>
      <c r="L42" s="108"/>
      <c r="M42" s="109"/>
      <c r="N42" s="142" t="str">
        <f>IFERROR(VLOOKUP($F42,Лист1!$A$4:$F$72,2,FALSE),"")</f>
        <v/>
      </c>
      <c r="O42" s="142" t="str">
        <f>IFERROR(VLOOKUP($G42,Лист1!$A$4:$F$72,2,FALSE),"")</f>
        <v/>
      </c>
      <c r="P42" s="110" t="str">
        <f>IFERROR(VLOOKUP($H42,Лист1!$A$4:$F$72,2,FALSE),"")</f>
        <v/>
      </c>
      <c r="Q42" s="110" t="str">
        <f>IFERROR(VLOOKUP($I42,Лист1!$A$4:$F$72,2,FALSE),"")</f>
        <v/>
      </c>
      <c r="R42" s="110" t="str">
        <f>IFERROR(VLOOKUP($J42,Лист1!$A$4:$F$72,2,FALSE),"")</f>
        <v/>
      </c>
      <c r="S42" s="110" t="str">
        <f>IFERROR(VLOOKUP($K42,Лист1!$A$4:$F$72,2,FALSE),"")</f>
        <v/>
      </c>
      <c r="T42" s="110" t="str">
        <f>IFERROR(VLOOKUP($L42,Лист1!$A$4:$F$72,2,FALSE),"")</f>
        <v/>
      </c>
      <c r="U42" s="110" t="str">
        <f t="shared" si="0"/>
        <v/>
      </c>
      <c r="V42" s="143" t="str">
        <f>IFERROR(VLOOKUP($F42,Лист1!$A$4:$F$72,3,FALSE),"")</f>
        <v/>
      </c>
      <c r="W42" s="111" t="str">
        <f>IFERROR(VLOOKUP($G42,Лист1!$A$4:$F$72,3,FALSE),"")</f>
        <v/>
      </c>
      <c r="X42" s="111" t="str">
        <f>IFERROR(VLOOKUP($H42,Лист1!$A$4:$F$72,3,FALSE),"")</f>
        <v/>
      </c>
      <c r="Y42" s="111" t="str">
        <f>IFERROR(VLOOKUP($I42,Лист1!$A$4:$F$72,3,FALSE),"")</f>
        <v/>
      </c>
      <c r="Z42" s="111" t="str">
        <f>IFERROR(VLOOKUP($J42,Лист1!$A$4:$F$72,3,FALSE),"")</f>
        <v/>
      </c>
      <c r="AA42" s="111" t="str">
        <f>IFERROR(VLOOKUP($K42,Лист1!$A$4:$F$72,3,FALSE),"")</f>
        <v/>
      </c>
      <c r="AB42" s="111" t="str">
        <f>IFERROR(VLOOKUP($L42,Лист1!$A$4:$F$72,3,FALSE),"")</f>
        <v/>
      </c>
      <c r="AC42" s="111" t="str">
        <f>IFERROR(VLOOKUP($M42,Лист1!$A$4:$F$72,3,FALSE),"")</f>
        <v/>
      </c>
      <c r="AD42" s="147">
        <f t="shared" si="35"/>
        <v>0</v>
      </c>
      <c r="AE42" s="113">
        <f t="shared" si="36"/>
        <v>0</v>
      </c>
      <c r="AF42" s="114">
        <f t="shared" si="37"/>
        <v>0</v>
      </c>
      <c r="AG42" s="114">
        <f t="shared" si="38"/>
        <v>0</v>
      </c>
      <c r="AH42" s="114">
        <f t="shared" si="39"/>
        <v>0</v>
      </c>
      <c r="AI42" s="116">
        <f t="shared" si="40"/>
        <v>0</v>
      </c>
      <c r="AJ42" s="116" t="str">
        <f t="shared" si="7"/>
        <v>000</v>
      </c>
      <c r="AK42" s="116" t="str">
        <f t="shared" si="8"/>
        <v>000</v>
      </c>
      <c r="AL42" s="117"/>
      <c r="AM42" s="118" t="str">
        <f t="shared" si="41"/>
        <v>км 0+000 - км 0+000</v>
      </c>
      <c r="AN42" s="119" t="str">
        <f t="shared" si="10"/>
        <v/>
      </c>
      <c r="AO42" s="148" t="e">
        <f t="shared" si="11"/>
        <v>#VALUE!</v>
      </c>
      <c r="AP42" s="120">
        <f t="shared" si="42"/>
        <v>0</v>
      </c>
      <c r="AQ42" s="115">
        <f t="shared" si="43"/>
        <v>0</v>
      </c>
      <c r="AR42" s="121"/>
      <c r="AS42" s="122">
        <f t="shared" si="44"/>
        <v>0</v>
      </c>
      <c r="AT42" s="122">
        <f t="shared" si="45"/>
        <v>0</v>
      </c>
      <c r="AU42" s="123">
        <f t="shared" si="46"/>
        <v>0</v>
      </c>
      <c r="AV42" s="124">
        <f t="shared" si="47"/>
        <v>0</v>
      </c>
      <c r="AW42" s="124" t="str">
        <f t="shared" si="48"/>
        <v>-</v>
      </c>
      <c r="AX42" s="125"/>
      <c r="AY42" s="122" t="str">
        <f t="shared" si="16"/>
        <v>км 0+000 - км 0+000</v>
      </c>
      <c r="AZ42" s="124" t="str">
        <f t="shared" si="17"/>
        <v>-</v>
      </c>
      <c r="BA42" s="126">
        <f t="shared" si="18"/>
        <v>0.5</v>
      </c>
      <c r="BB42" s="125"/>
      <c r="BC42" s="125"/>
      <c r="BD42" s="123" t="str">
        <f t="shared" si="19"/>
        <v>км 0+000 - км 0+000</v>
      </c>
      <c r="BE42" s="126">
        <f t="shared" si="20"/>
        <v>0.5</v>
      </c>
      <c r="BF42" s="149" t="e">
        <f t="shared" ca="1" si="49"/>
        <v>#N/A</v>
      </c>
    </row>
    <row r="43" spans="1:58" ht="16.5" x14ac:dyDescent="0.25">
      <c r="A43" s="105">
        <f t="shared" si="23"/>
        <v>0</v>
      </c>
      <c r="B43" s="105"/>
      <c r="C43" s="106">
        <f t="shared" si="22"/>
        <v>0</v>
      </c>
      <c r="D43" s="150"/>
      <c r="E43" s="151"/>
      <c r="F43" s="151"/>
      <c r="G43" s="152"/>
      <c r="H43" s="152"/>
      <c r="I43" s="152"/>
      <c r="J43" s="152"/>
      <c r="K43" s="152"/>
      <c r="L43" s="152"/>
      <c r="M43" s="153"/>
      <c r="N43" s="154" t="str">
        <f>IFERROR(VLOOKUP($F43,Лист1!$A$4:$F$72,2,FALSE),"")</f>
        <v/>
      </c>
      <c r="O43" s="154" t="str">
        <f>IFERROR(VLOOKUP($G43,Лист1!$A$4:$F$72,2,FALSE),"")</f>
        <v/>
      </c>
      <c r="P43" s="155" t="str">
        <f>IFERROR(VLOOKUP($H43,Лист1!$A$4:$F$72,2,FALSE),"")</f>
        <v/>
      </c>
      <c r="Q43" s="155" t="str">
        <f>IFERROR(VLOOKUP($I43,Лист1!$A$4:$F$72,2,FALSE),"")</f>
        <v/>
      </c>
      <c r="R43" s="155" t="str">
        <f>IFERROR(VLOOKUP($J43,Лист1!$A$4:$F$72,2,FALSE),"")</f>
        <v/>
      </c>
      <c r="S43" s="155" t="str">
        <f>IFERROR(VLOOKUP($K43,Лист1!$A$4:$F$72,2,FALSE),"")</f>
        <v/>
      </c>
      <c r="T43" s="155" t="str">
        <f>IFERROR(VLOOKUP($L43,Лист1!$A$4:$F$72,2,FALSE),"")</f>
        <v/>
      </c>
      <c r="U43" s="155" t="str">
        <f t="shared" si="0"/>
        <v/>
      </c>
      <c r="V43" s="156" t="str">
        <f>IFERROR(VLOOKUP($F43,Лист1!$A$4:$F$72,3,FALSE),"")</f>
        <v/>
      </c>
      <c r="W43" s="157" t="str">
        <f>IFERROR(VLOOKUP($G43,Лист1!$A$4:$F$72,3,FALSE),"")</f>
        <v/>
      </c>
      <c r="X43" s="157" t="str">
        <f>IFERROR(VLOOKUP($H43,Лист1!$A$4:$F$72,3,FALSE),"")</f>
        <v/>
      </c>
      <c r="Y43" s="157" t="str">
        <f>IFERROR(VLOOKUP($I43,Лист1!$A$4:$F$72,3,FALSE),"")</f>
        <v/>
      </c>
      <c r="Z43" s="157" t="str">
        <f>IFERROR(VLOOKUP($J43,Лист1!$A$4:$F$72,3,FALSE),"")</f>
        <v/>
      </c>
      <c r="AA43" s="157" t="str">
        <f>IFERROR(VLOOKUP($K43,Лист1!$A$4:$F$72,3,FALSE),"")</f>
        <v/>
      </c>
      <c r="AB43" s="157" t="str">
        <f>IFERROR(VLOOKUP($L43,Лист1!$A$4:$F$72,3,FALSE),"")</f>
        <v/>
      </c>
      <c r="AC43" s="157" t="str">
        <f>IFERROR(VLOOKUP($M43,Лист1!$A$4:$F$72,3,FALSE),"")</f>
        <v/>
      </c>
      <c r="AD43" s="158">
        <f t="shared" si="35"/>
        <v>0</v>
      </c>
      <c r="AE43" s="159">
        <f t="shared" si="36"/>
        <v>0</v>
      </c>
      <c r="AF43" s="160">
        <f t="shared" si="37"/>
        <v>0</v>
      </c>
      <c r="AG43" s="160">
        <f t="shared" si="38"/>
        <v>0</v>
      </c>
      <c r="AH43" s="160">
        <f t="shared" si="39"/>
        <v>0</v>
      </c>
      <c r="AI43" s="161">
        <f t="shared" si="40"/>
        <v>0</v>
      </c>
      <c r="AJ43" s="161" t="str">
        <f t="shared" si="7"/>
        <v>000</v>
      </c>
      <c r="AK43" s="161" t="str">
        <f t="shared" si="8"/>
        <v>000</v>
      </c>
      <c r="AL43" s="162"/>
      <c r="AM43" s="163" t="str">
        <f t="shared" si="41"/>
        <v>км 0+000 - км 0+000</v>
      </c>
      <c r="AN43" s="164" t="str">
        <f t="shared" si="10"/>
        <v/>
      </c>
      <c r="AO43" s="165" t="e">
        <f t="shared" si="11"/>
        <v>#VALUE!</v>
      </c>
      <c r="AP43" s="166">
        <f t="shared" si="42"/>
        <v>0</v>
      </c>
      <c r="AQ43" s="167">
        <f t="shared" si="43"/>
        <v>0</v>
      </c>
      <c r="AR43" s="168"/>
      <c r="AS43" s="169">
        <f t="shared" si="44"/>
        <v>0</v>
      </c>
      <c r="AT43" s="169">
        <f t="shared" si="45"/>
        <v>0</v>
      </c>
      <c r="AU43" s="170">
        <f t="shared" si="46"/>
        <v>0</v>
      </c>
      <c r="AV43" s="171">
        <f t="shared" si="47"/>
        <v>0</v>
      </c>
      <c r="AW43" s="171" t="str">
        <f t="shared" si="48"/>
        <v>-</v>
      </c>
      <c r="AX43" s="172"/>
      <c r="AY43" s="173" t="str">
        <f t="shared" si="16"/>
        <v>км 0+000 - км 0+000</v>
      </c>
      <c r="AZ43" s="174" t="str">
        <f t="shared" si="17"/>
        <v>-</v>
      </c>
      <c r="BA43" s="175">
        <f t="shared" si="18"/>
        <v>0.5</v>
      </c>
      <c r="BB43" s="172"/>
      <c r="BC43" s="172"/>
      <c r="BD43" s="170" t="str">
        <f t="shared" si="19"/>
        <v>км 0+000 - км 0+000</v>
      </c>
      <c r="BE43" s="176">
        <f t="shared" si="20"/>
        <v>0.5</v>
      </c>
      <c r="BF43" s="177" t="e">
        <f t="shared" ca="1" si="49"/>
        <v>#N/A</v>
      </c>
    </row>
    <row r="44" spans="1:58" ht="16.5" x14ac:dyDescent="0.25">
      <c r="A44" s="105">
        <f t="shared" si="23"/>
        <v>0</v>
      </c>
      <c r="B44" s="105"/>
      <c r="C44" s="106">
        <f t="shared" si="22"/>
        <v>0</v>
      </c>
      <c r="D44" s="107"/>
      <c r="E44" s="108"/>
      <c r="F44" s="108"/>
      <c r="G44" s="108"/>
      <c r="H44" s="108"/>
      <c r="I44" s="108"/>
      <c r="J44" s="108"/>
      <c r="K44" s="108"/>
      <c r="L44" s="108"/>
      <c r="M44" s="109"/>
      <c r="N44" s="142" t="str">
        <f>IFERROR(VLOOKUP($F44,Лист1!$A$4:$F$72,2,FALSE),"")</f>
        <v/>
      </c>
      <c r="O44" s="142" t="str">
        <f>IFERROR(VLOOKUP($G44,Лист1!$A$4:$F$72,2,FALSE),"")</f>
        <v/>
      </c>
      <c r="P44" s="110" t="str">
        <f>IFERROR(VLOOKUP($H44,Лист1!$A$4:$F$72,2,FALSE),"")</f>
        <v/>
      </c>
      <c r="Q44" s="110" t="str">
        <f>IFERROR(VLOOKUP($I44,Лист1!$A$4:$F$72,2,FALSE),"")</f>
        <v/>
      </c>
      <c r="R44" s="110" t="str">
        <f>IFERROR(VLOOKUP($J44,Лист1!$A$4:$F$72,2,FALSE),"")</f>
        <v/>
      </c>
      <c r="S44" s="110" t="str">
        <f>IFERROR(VLOOKUP($K44,Лист1!$A$4:$F$72,2,FALSE),"")</f>
        <v/>
      </c>
      <c r="T44" s="110" t="str">
        <f>IFERROR(VLOOKUP($L44,Лист1!$A$4:$F$72,2,FALSE),"")</f>
        <v/>
      </c>
      <c r="U44" s="110" t="str">
        <f t="shared" ref="U44:U51" si="50">IF(ISBLANK($M44),"",$M44)</f>
        <v/>
      </c>
      <c r="V44" s="143" t="str">
        <f>IFERROR(VLOOKUP($F44,Лист1!$A$4:$F$72,3,FALSE),"")</f>
        <v/>
      </c>
      <c r="W44" s="111" t="str">
        <f>IFERROR(VLOOKUP($G44,Лист1!$A$4:$F$72,3,FALSE),"")</f>
        <v/>
      </c>
      <c r="X44" s="111" t="str">
        <f>IFERROR(VLOOKUP($H44,Лист1!$A$4:$F$72,3,FALSE),"")</f>
        <v/>
      </c>
      <c r="Y44" s="111" t="str">
        <f>IFERROR(VLOOKUP($I44,Лист1!$A$4:$F$72,3,FALSE),"")</f>
        <v/>
      </c>
      <c r="Z44" s="111" t="str">
        <f>IFERROR(VLOOKUP($J44,Лист1!$A$4:$F$72,3,FALSE),"")</f>
        <v/>
      </c>
      <c r="AA44" s="111" t="str">
        <f>IFERROR(VLOOKUP($K44,Лист1!$A$4:$F$72,3,FALSE),"")</f>
        <v/>
      </c>
      <c r="AB44" s="111" t="str">
        <f>IFERROR(VLOOKUP($L44,Лист1!$A$4:$F$72,3,FALSE),"")</f>
        <v/>
      </c>
      <c r="AC44" s="111" t="str">
        <f>IFERROR(VLOOKUP($M44,Лист1!$A$4:$F$72,3,FALSE),"")</f>
        <v/>
      </c>
      <c r="AD44" s="147">
        <f t="shared" si="35"/>
        <v>0</v>
      </c>
      <c r="AE44" s="113">
        <f t="shared" si="36"/>
        <v>0</v>
      </c>
      <c r="AF44" s="114">
        <f t="shared" si="37"/>
        <v>0</v>
      </c>
      <c r="AG44" s="114">
        <f t="shared" si="38"/>
        <v>0</v>
      </c>
      <c r="AH44" s="114">
        <f t="shared" si="39"/>
        <v>0</v>
      </c>
      <c r="AI44" s="116">
        <f t="shared" si="40"/>
        <v>0</v>
      </c>
      <c r="AJ44" s="116" t="str">
        <f t="shared" ref="AJ44:AJ51" si="51">IF($AG44=0,"000",$AG44)</f>
        <v>000</v>
      </c>
      <c r="AK44" s="116" t="str">
        <f t="shared" ref="AK44:AK51" si="52">IF($AI44=0,"000",$AI44)</f>
        <v>000</v>
      </c>
      <c r="AL44" s="117"/>
      <c r="AM44" s="118" t="str">
        <f t="shared" si="41"/>
        <v>км 0+000 - км 0+000</v>
      </c>
      <c r="AN44" s="119" t="str">
        <f t="shared" ref="AN44:AN51" si="53">IF(ISBLANK($M44),N44&amp;O44&amp;P44&amp;Q44&amp;R44&amp;S44&amp;T44&amp;U44,N44&amp;O44&amp;P44&amp;Q44&amp;R44&amp;S44&amp;T44&amp;U44&amp;";")</f>
        <v/>
      </c>
      <c r="AO44" s="148" t="e">
        <f t="shared" ref="AO44:AO51" si="54">UPPER(LEFT($AN44,1))&amp;RIGHT(LOWER($AN44),LEN($AN44)-1)</f>
        <v>#VALUE!</v>
      </c>
      <c r="AP44" s="120">
        <f t="shared" si="42"/>
        <v>0</v>
      </c>
      <c r="AQ44" s="115">
        <f t="shared" si="43"/>
        <v>0</v>
      </c>
      <c r="AR44" s="121"/>
      <c r="AS44" s="122">
        <f t="shared" si="44"/>
        <v>0</v>
      </c>
      <c r="AT44" s="122">
        <f t="shared" si="45"/>
        <v>0</v>
      </c>
      <c r="AU44" s="123">
        <f t="shared" si="46"/>
        <v>0</v>
      </c>
      <c r="AV44" s="124">
        <f t="shared" si="47"/>
        <v>0</v>
      </c>
      <c r="AW44" s="124" t="str">
        <f t="shared" si="48"/>
        <v>-</v>
      </c>
      <c r="AX44" s="125"/>
      <c r="AY44" s="122" t="str">
        <f t="shared" ref="AY44:AY51" si="55">$AM44</f>
        <v>км 0+000 - км 0+000</v>
      </c>
      <c r="AZ44" s="124" t="str">
        <f t="shared" ref="AZ44:AZ51" si="56">$AW44</f>
        <v>-</v>
      </c>
      <c r="BA44" s="126">
        <f t="shared" ref="BA44:BA51" si="57">$BE44</f>
        <v>0.5</v>
      </c>
      <c r="BB44" s="125"/>
      <c r="BC44" s="125"/>
      <c r="BD44" s="123" t="str">
        <f t="shared" ref="BD44:BD51" si="58">$AM44</f>
        <v>км 0+000 - км 0+000</v>
      </c>
      <c r="BE44" s="126">
        <f t="shared" ref="BE44:BE51" si="59">ROUND(1-((5-$AP44)/10),2)</f>
        <v>0.5</v>
      </c>
      <c r="BF44" s="149" t="e">
        <f t="shared" ca="1" si="49"/>
        <v>#N/A</v>
      </c>
    </row>
    <row r="45" spans="1:58" ht="16.5" x14ac:dyDescent="0.25">
      <c r="A45" s="105">
        <f t="shared" si="23"/>
        <v>0</v>
      </c>
      <c r="B45" s="105"/>
      <c r="C45" s="106">
        <f t="shared" si="22"/>
        <v>0</v>
      </c>
      <c r="D45" s="150"/>
      <c r="E45" s="151"/>
      <c r="F45" s="151"/>
      <c r="G45" s="152"/>
      <c r="H45" s="152"/>
      <c r="I45" s="152"/>
      <c r="J45" s="152"/>
      <c r="K45" s="152"/>
      <c r="L45" s="152"/>
      <c r="M45" s="153"/>
      <c r="N45" s="154" t="str">
        <f>IFERROR(VLOOKUP($F45,Лист1!$A$4:$F$72,2,FALSE),"")</f>
        <v/>
      </c>
      <c r="O45" s="154" t="str">
        <f>IFERROR(VLOOKUP($G45,Лист1!$A$4:$F$72,2,FALSE),"")</f>
        <v/>
      </c>
      <c r="P45" s="155" t="str">
        <f>IFERROR(VLOOKUP($H45,Лист1!$A$4:$F$72,2,FALSE),"")</f>
        <v/>
      </c>
      <c r="Q45" s="155" t="str">
        <f>IFERROR(VLOOKUP($I45,Лист1!$A$4:$F$72,2,FALSE),"")</f>
        <v/>
      </c>
      <c r="R45" s="155" t="str">
        <f>IFERROR(VLOOKUP($J45,Лист1!$A$4:$F$72,2,FALSE),"")</f>
        <v/>
      </c>
      <c r="S45" s="155" t="str">
        <f>IFERROR(VLOOKUP($K45,Лист1!$A$4:$F$72,2,FALSE),"")</f>
        <v/>
      </c>
      <c r="T45" s="155" t="str">
        <f>IFERROR(VLOOKUP($L45,Лист1!$A$4:$F$72,2,FALSE),"")</f>
        <v/>
      </c>
      <c r="U45" s="155" t="str">
        <f t="shared" si="50"/>
        <v/>
      </c>
      <c r="V45" s="156" t="str">
        <f>IFERROR(VLOOKUP($F45,Лист1!$A$4:$F$72,3,FALSE),"")</f>
        <v/>
      </c>
      <c r="W45" s="157" t="str">
        <f>IFERROR(VLOOKUP($G45,Лист1!$A$4:$F$72,3,FALSE),"")</f>
        <v/>
      </c>
      <c r="X45" s="157" t="str">
        <f>IFERROR(VLOOKUP($H45,Лист1!$A$4:$F$72,3,FALSE),"")</f>
        <v/>
      </c>
      <c r="Y45" s="157" t="str">
        <f>IFERROR(VLOOKUP($I45,Лист1!$A$4:$F$72,3,FALSE),"")</f>
        <v/>
      </c>
      <c r="Z45" s="157" t="str">
        <f>IFERROR(VLOOKUP($J45,Лист1!$A$4:$F$72,3,FALSE),"")</f>
        <v/>
      </c>
      <c r="AA45" s="157" t="str">
        <f>IFERROR(VLOOKUP($K45,Лист1!$A$4:$F$72,3,FALSE),"")</f>
        <v/>
      </c>
      <c r="AB45" s="157" t="str">
        <f>IFERROR(VLOOKUP($L45,Лист1!$A$4:$F$72,3,FALSE),"")</f>
        <v/>
      </c>
      <c r="AC45" s="157" t="str">
        <f>IFERROR(VLOOKUP($M45,Лист1!$A$4:$F$72,3,FALSE),"")</f>
        <v/>
      </c>
      <c r="AD45" s="158">
        <f t="shared" si="35"/>
        <v>0</v>
      </c>
      <c r="AE45" s="159">
        <f t="shared" si="36"/>
        <v>0</v>
      </c>
      <c r="AF45" s="160">
        <f t="shared" si="37"/>
        <v>0</v>
      </c>
      <c r="AG45" s="160">
        <f t="shared" si="38"/>
        <v>0</v>
      </c>
      <c r="AH45" s="160">
        <f t="shared" si="39"/>
        <v>0</v>
      </c>
      <c r="AI45" s="161">
        <f t="shared" si="40"/>
        <v>0</v>
      </c>
      <c r="AJ45" s="161" t="str">
        <f t="shared" si="51"/>
        <v>000</v>
      </c>
      <c r="AK45" s="161" t="str">
        <f t="shared" si="52"/>
        <v>000</v>
      </c>
      <c r="AL45" s="162"/>
      <c r="AM45" s="163" t="str">
        <f t="shared" si="41"/>
        <v>км 0+000 - км 0+000</v>
      </c>
      <c r="AN45" s="164" t="str">
        <f t="shared" si="53"/>
        <v/>
      </c>
      <c r="AO45" s="165" t="e">
        <f t="shared" si="54"/>
        <v>#VALUE!</v>
      </c>
      <c r="AP45" s="166">
        <f t="shared" si="42"/>
        <v>0</v>
      </c>
      <c r="AQ45" s="167">
        <f t="shared" si="43"/>
        <v>0</v>
      </c>
      <c r="AR45" s="168"/>
      <c r="AS45" s="169">
        <f t="shared" si="44"/>
        <v>0</v>
      </c>
      <c r="AT45" s="169">
        <f t="shared" si="45"/>
        <v>0</v>
      </c>
      <c r="AU45" s="170">
        <f t="shared" si="46"/>
        <v>0</v>
      </c>
      <c r="AV45" s="171">
        <f t="shared" si="47"/>
        <v>0</v>
      </c>
      <c r="AW45" s="171" t="str">
        <f t="shared" si="48"/>
        <v>-</v>
      </c>
      <c r="AX45" s="172"/>
      <c r="AY45" s="173" t="str">
        <f t="shared" si="55"/>
        <v>км 0+000 - км 0+000</v>
      </c>
      <c r="AZ45" s="174" t="str">
        <f t="shared" si="56"/>
        <v>-</v>
      </c>
      <c r="BA45" s="175">
        <f t="shared" si="57"/>
        <v>0.5</v>
      </c>
      <c r="BB45" s="172"/>
      <c r="BC45" s="172"/>
      <c r="BD45" s="170" t="str">
        <f t="shared" si="58"/>
        <v>км 0+000 - км 0+000</v>
      </c>
      <c r="BE45" s="176">
        <f t="shared" si="59"/>
        <v>0.5</v>
      </c>
      <c r="BF45" s="177" t="e">
        <f t="shared" ca="1" si="49"/>
        <v>#N/A</v>
      </c>
    </row>
    <row r="46" spans="1:58" ht="16.5" x14ac:dyDescent="0.25">
      <c r="A46" s="105">
        <f t="shared" si="23"/>
        <v>0</v>
      </c>
      <c r="B46" s="105"/>
      <c r="C46" s="106">
        <f t="shared" si="22"/>
        <v>0</v>
      </c>
      <c r="D46" s="107"/>
      <c r="E46" s="108"/>
      <c r="F46" s="108"/>
      <c r="G46" s="108"/>
      <c r="H46" s="108"/>
      <c r="I46" s="108"/>
      <c r="J46" s="108"/>
      <c r="K46" s="108"/>
      <c r="L46" s="108"/>
      <c r="M46" s="109"/>
      <c r="N46" s="142" t="str">
        <f>IFERROR(VLOOKUP($F46,Лист1!$A$4:$F$72,2,FALSE),"")</f>
        <v/>
      </c>
      <c r="O46" s="142" t="str">
        <f>IFERROR(VLOOKUP($G46,Лист1!$A$4:$F$72,2,FALSE),"")</f>
        <v/>
      </c>
      <c r="P46" s="110" t="str">
        <f>IFERROR(VLOOKUP($H46,Лист1!$A$4:$F$72,2,FALSE),"")</f>
        <v/>
      </c>
      <c r="Q46" s="110" t="str">
        <f>IFERROR(VLOOKUP($I46,Лист1!$A$4:$F$72,2,FALSE),"")</f>
        <v/>
      </c>
      <c r="R46" s="110" t="str">
        <f>IFERROR(VLOOKUP($J46,Лист1!$A$4:$F$72,2,FALSE),"")</f>
        <v/>
      </c>
      <c r="S46" s="110" t="str">
        <f>IFERROR(VLOOKUP($K46,Лист1!$A$4:$F$72,2,FALSE),"")</f>
        <v/>
      </c>
      <c r="T46" s="110" t="str">
        <f>IFERROR(VLOOKUP($L46,Лист1!$A$4:$F$72,2,FALSE),"")</f>
        <v/>
      </c>
      <c r="U46" s="110" t="str">
        <f t="shared" si="50"/>
        <v/>
      </c>
      <c r="V46" s="143" t="str">
        <f>IFERROR(VLOOKUP($F46,Лист1!$A$4:$F$72,3,FALSE),"")</f>
        <v/>
      </c>
      <c r="W46" s="111" t="str">
        <f>IFERROR(VLOOKUP($G46,Лист1!$A$4:$F$72,3,FALSE),"")</f>
        <v/>
      </c>
      <c r="X46" s="111" t="str">
        <f>IFERROR(VLOOKUP($H46,Лист1!$A$4:$F$72,3,FALSE),"")</f>
        <v/>
      </c>
      <c r="Y46" s="111" t="str">
        <f>IFERROR(VLOOKUP($I46,Лист1!$A$4:$F$72,3,FALSE),"")</f>
        <v/>
      </c>
      <c r="Z46" s="111" t="str">
        <f>IFERROR(VLOOKUP($J46,Лист1!$A$4:$F$72,3,FALSE),"")</f>
        <v/>
      </c>
      <c r="AA46" s="111" t="str">
        <f>IFERROR(VLOOKUP($K46,Лист1!$A$4:$F$72,3,FALSE),"")</f>
        <v/>
      </c>
      <c r="AB46" s="111" t="str">
        <f>IFERROR(VLOOKUP($L46,Лист1!$A$4:$F$72,3,FALSE),"")</f>
        <v/>
      </c>
      <c r="AC46" s="111" t="str">
        <f>IFERROR(VLOOKUP($M46,Лист1!$A$4:$F$72,3,FALSE),"")</f>
        <v/>
      </c>
      <c r="AD46" s="147">
        <f t="shared" si="35"/>
        <v>0</v>
      </c>
      <c r="AE46" s="113">
        <f t="shared" si="36"/>
        <v>0</v>
      </c>
      <c r="AF46" s="114">
        <f t="shared" si="37"/>
        <v>0</v>
      </c>
      <c r="AG46" s="114">
        <f t="shared" si="38"/>
        <v>0</v>
      </c>
      <c r="AH46" s="114">
        <f t="shared" si="39"/>
        <v>0</v>
      </c>
      <c r="AI46" s="116">
        <f t="shared" si="40"/>
        <v>0</v>
      </c>
      <c r="AJ46" s="116" t="str">
        <f t="shared" si="51"/>
        <v>000</v>
      </c>
      <c r="AK46" s="116" t="str">
        <f t="shared" si="52"/>
        <v>000</v>
      </c>
      <c r="AL46" s="117"/>
      <c r="AM46" s="118" t="str">
        <f t="shared" si="41"/>
        <v>км 0+000 - км 0+000</v>
      </c>
      <c r="AN46" s="119" t="str">
        <f t="shared" si="53"/>
        <v/>
      </c>
      <c r="AO46" s="148" t="e">
        <f t="shared" si="54"/>
        <v>#VALUE!</v>
      </c>
      <c r="AP46" s="120">
        <f t="shared" si="42"/>
        <v>0</v>
      </c>
      <c r="AQ46" s="115">
        <f t="shared" si="43"/>
        <v>0</v>
      </c>
      <c r="AR46" s="121"/>
      <c r="AS46" s="122">
        <f t="shared" si="44"/>
        <v>0</v>
      </c>
      <c r="AT46" s="122">
        <f t="shared" si="45"/>
        <v>0</v>
      </c>
      <c r="AU46" s="123">
        <f t="shared" si="46"/>
        <v>0</v>
      </c>
      <c r="AV46" s="124">
        <f t="shared" si="47"/>
        <v>0</v>
      </c>
      <c r="AW46" s="124" t="str">
        <f t="shared" si="48"/>
        <v>-</v>
      </c>
      <c r="AX46" s="125"/>
      <c r="AY46" s="122" t="str">
        <f t="shared" si="55"/>
        <v>км 0+000 - км 0+000</v>
      </c>
      <c r="AZ46" s="124" t="str">
        <f t="shared" si="56"/>
        <v>-</v>
      </c>
      <c r="BA46" s="126">
        <f t="shared" si="57"/>
        <v>0.5</v>
      </c>
      <c r="BB46" s="125"/>
      <c r="BC46" s="125"/>
      <c r="BD46" s="123" t="str">
        <f t="shared" si="58"/>
        <v>км 0+000 - км 0+000</v>
      </c>
      <c r="BE46" s="126">
        <f t="shared" si="59"/>
        <v>0.5</v>
      </c>
      <c r="BF46" s="149" t="e">
        <f t="shared" ca="1" si="49"/>
        <v>#N/A</v>
      </c>
    </row>
    <row r="47" spans="1:58" ht="16.5" x14ac:dyDescent="0.25">
      <c r="A47" s="105">
        <f t="shared" si="23"/>
        <v>0</v>
      </c>
      <c r="B47" s="105"/>
      <c r="C47" s="106">
        <f t="shared" si="22"/>
        <v>0</v>
      </c>
      <c r="D47" s="150"/>
      <c r="E47" s="151"/>
      <c r="F47" s="151"/>
      <c r="G47" s="152"/>
      <c r="H47" s="152"/>
      <c r="I47" s="152"/>
      <c r="J47" s="152"/>
      <c r="K47" s="152"/>
      <c r="L47" s="152"/>
      <c r="M47" s="153"/>
      <c r="N47" s="154" t="str">
        <f>IFERROR(VLOOKUP($F47,Лист1!$A$4:$F$72,2,FALSE),"")</f>
        <v/>
      </c>
      <c r="O47" s="154" t="str">
        <f>IFERROR(VLOOKUP($G47,Лист1!$A$4:$F$72,2,FALSE),"")</f>
        <v/>
      </c>
      <c r="P47" s="155" t="str">
        <f>IFERROR(VLOOKUP($H47,Лист1!$A$4:$F$72,2,FALSE),"")</f>
        <v/>
      </c>
      <c r="Q47" s="155" t="str">
        <f>IFERROR(VLOOKUP($I47,Лист1!$A$4:$F$72,2,FALSE),"")</f>
        <v/>
      </c>
      <c r="R47" s="155" t="str">
        <f>IFERROR(VLOOKUP($J47,Лист1!$A$4:$F$72,2,FALSE),"")</f>
        <v/>
      </c>
      <c r="S47" s="155" t="str">
        <f>IFERROR(VLOOKUP($K47,Лист1!$A$4:$F$72,2,FALSE),"")</f>
        <v/>
      </c>
      <c r="T47" s="155" t="str">
        <f>IFERROR(VLOOKUP($L47,Лист1!$A$4:$F$72,2,FALSE),"")</f>
        <v/>
      </c>
      <c r="U47" s="155" t="str">
        <f t="shared" si="50"/>
        <v/>
      </c>
      <c r="V47" s="156" t="str">
        <f>IFERROR(VLOOKUP($F47,Лист1!$A$4:$F$72,3,FALSE),"")</f>
        <v/>
      </c>
      <c r="W47" s="157" t="str">
        <f>IFERROR(VLOOKUP($G47,Лист1!$A$4:$F$72,3,FALSE),"")</f>
        <v/>
      </c>
      <c r="X47" s="157" t="str">
        <f>IFERROR(VLOOKUP($H47,Лист1!$A$4:$F$72,3,FALSE),"")</f>
        <v/>
      </c>
      <c r="Y47" s="157" t="str">
        <f>IFERROR(VLOOKUP($I47,Лист1!$A$4:$F$72,3,FALSE),"")</f>
        <v/>
      </c>
      <c r="Z47" s="157" t="str">
        <f>IFERROR(VLOOKUP($J47,Лист1!$A$4:$F$72,3,FALSE),"")</f>
        <v/>
      </c>
      <c r="AA47" s="157" t="str">
        <f>IFERROR(VLOOKUP($K47,Лист1!$A$4:$F$72,3,FALSE),"")</f>
        <v/>
      </c>
      <c r="AB47" s="157" t="str">
        <f>IFERROR(VLOOKUP($L47,Лист1!$A$4:$F$72,3,FALSE),"")</f>
        <v/>
      </c>
      <c r="AC47" s="157" t="str">
        <f>IFERROR(VLOOKUP($M47,Лист1!$A$4:$F$72,3,FALSE),"")</f>
        <v/>
      </c>
      <c r="AD47" s="158">
        <f t="shared" si="35"/>
        <v>0</v>
      </c>
      <c r="AE47" s="159">
        <f t="shared" si="36"/>
        <v>0</v>
      </c>
      <c r="AF47" s="160">
        <f t="shared" si="37"/>
        <v>0</v>
      </c>
      <c r="AG47" s="160">
        <f t="shared" si="38"/>
        <v>0</v>
      </c>
      <c r="AH47" s="160">
        <f t="shared" si="39"/>
        <v>0</v>
      </c>
      <c r="AI47" s="161">
        <f t="shared" si="40"/>
        <v>0</v>
      </c>
      <c r="AJ47" s="161" t="str">
        <f t="shared" si="51"/>
        <v>000</v>
      </c>
      <c r="AK47" s="161" t="str">
        <f t="shared" si="52"/>
        <v>000</v>
      </c>
      <c r="AL47" s="162"/>
      <c r="AM47" s="163" t="str">
        <f t="shared" si="41"/>
        <v>км 0+000 - км 0+000</v>
      </c>
      <c r="AN47" s="164" t="str">
        <f t="shared" si="53"/>
        <v/>
      </c>
      <c r="AO47" s="165" t="e">
        <f t="shared" si="54"/>
        <v>#VALUE!</v>
      </c>
      <c r="AP47" s="166">
        <f t="shared" si="42"/>
        <v>0</v>
      </c>
      <c r="AQ47" s="167">
        <f t="shared" si="43"/>
        <v>0</v>
      </c>
      <c r="AR47" s="168"/>
      <c r="AS47" s="169">
        <f t="shared" si="44"/>
        <v>0</v>
      </c>
      <c r="AT47" s="169">
        <f t="shared" si="45"/>
        <v>0</v>
      </c>
      <c r="AU47" s="170">
        <f t="shared" si="46"/>
        <v>0</v>
      </c>
      <c r="AV47" s="171">
        <f t="shared" si="47"/>
        <v>0</v>
      </c>
      <c r="AW47" s="171" t="str">
        <f t="shared" si="48"/>
        <v>-</v>
      </c>
      <c r="AX47" s="172"/>
      <c r="AY47" s="173" t="str">
        <f t="shared" si="55"/>
        <v>км 0+000 - км 0+000</v>
      </c>
      <c r="AZ47" s="174" t="str">
        <f t="shared" si="56"/>
        <v>-</v>
      </c>
      <c r="BA47" s="175">
        <f t="shared" si="57"/>
        <v>0.5</v>
      </c>
      <c r="BB47" s="172"/>
      <c r="BC47" s="172"/>
      <c r="BD47" s="170" t="str">
        <f t="shared" si="58"/>
        <v>км 0+000 - км 0+000</v>
      </c>
      <c r="BE47" s="176">
        <f t="shared" si="59"/>
        <v>0.5</v>
      </c>
      <c r="BF47" s="177" t="e">
        <f t="shared" ca="1" si="49"/>
        <v>#N/A</v>
      </c>
    </row>
    <row r="48" spans="1:58" ht="16.5" x14ac:dyDescent="0.25">
      <c r="A48" s="105">
        <f t="shared" si="23"/>
        <v>0</v>
      </c>
      <c r="B48" s="105"/>
      <c r="C48" s="106">
        <f t="shared" si="22"/>
        <v>0</v>
      </c>
      <c r="D48" s="107"/>
      <c r="E48" s="108"/>
      <c r="F48" s="108"/>
      <c r="G48" s="108"/>
      <c r="H48" s="108"/>
      <c r="I48" s="108"/>
      <c r="J48" s="108"/>
      <c r="K48" s="108"/>
      <c r="L48" s="108"/>
      <c r="M48" s="109"/>
      <c r="N48" s="142" t="str">
        <f>IFERROR(VLOOKUP($F48,Лист1!$A$4:$F$72,2,FALSE),"")</f>
        <v/>
      </c>
      <c r="O48" s="142" t="str">
        <f>IFERROR(VLOOKUP($G48,Лист1!$A$4:$F$72,2,FALSE),"")</f>
        <v/>
      </c>
      <c r="P48" s="110" t="str">
        <f>IFERROR(VLOOKUP($H48,Лист1!$A$4:$F$72,2,FALSE),"")</f>
        <v/>
      </c>
      <c r="Q48" s="110" t="str">
        <f>IFERROR(VLOOKUP($I48,Лист1!$A$4:$F$72,2,FALSE),"")</f>
        <v/>
      </c>
      <c r="R48" s="110" t="str">
        <f>IFERROR(VLOOKUP($J48,Лист1!$A$4:$F$72,2,FALSE),"")</f>
        <v/>
      </c>
      <c r="S48" s="110" t="str">
        <f>IFERROR(VLOOKUP($K48,Лист1!$A$4:$F$72,2,FALSE),"")</f>
        <v/>
      </c>
      <c r="T48" s="110" t="str">
        <f>IFERROR(VLOOKUP($L48,Лист1!$A$4:$F$72,2,FALSE),"")</f>
        <v/>
      </c>
      <c r="U48" s="110" t="str">
        <f t="shared" si="50"/>
        <v/>
      </c>
      <c r="V48" s="143" t="str">
        <f>IFERROR(VLOOKUP($F48,Лист1!$A$4:$F$72,3,FALSE),"")</f>
        <v/>
      </c>
      <c r="W48" s="111" t="str">
        <f>IFERROR(VLOOKUP($G48,Лист1!$A$4:$F$72,3,FALSE),"")</f>
        <v/>
      </c>
      <c r="X48" s="111" t="str">
        <f>IFERROR(VLOOKUP($H48,Лист1!$A$4:$F$72,3,FALSE),"")</f>
        <v/>
      </c>
      <c r="Y48" s="111" t="str">
        <f>IFERROR(VLOOKUP($I48,Лист1!$A$4:$F$72,3,FALSE),"")</f>
        <v/>
      </c>
      <c r="Z48" s="111" t="str">
        <f>IFERROR(VLOOKUP($J48,Лист1!$A$4:$F$72,3,FALSE),"")</f>
        <v/>
      </c>
      <c r="AA48" s="111" t="str">
        <f>IFERROR(VLOOKUP($K48,Лист1!$A$4:$F$72,3,FALSE),"")</f>
        <v/>
      </c>
      <c r="AB48" s="111" t="str">
        <f>IFERROR(VLOOKUP($L48,Лист1!$A$4:$F$72,3,FALSE),"")</f>
        <v/>
      </c>
      <c r="AC48" s="111" t="str">
        <f>IFERROR(VLOOKUP($M48,Лист1!$A$4:$F$72,3,FALSE),"")</f>
        <v/>
      </c>
      <c r="AD48" s="147">
        <f t="shared" si="35"/>
        <v>0</v>
      </c>
      <c r="AE48" s="113">
        <f t="shared" si="36"/>
        <v>0</v>
      </c>
      <c r="AF48" s="114">
        <f t="shared" si="37"/>
        <v>0</v>
      </c>
      <c r="AG48" s="114">
        <f t="shared" si="38"/>
        <v>0</v>
      </c>
      <c r="AH48" s="114">
        <f t="shared" si="39"/>
        <v>0</v>
      </c>
      <c r="AI48" s="116">
        <f t="shared" si="40"/>
        <v>0</v>
      </c>
      <c r="AJ48" s="116" t="str">
        <f t="shared" si="51"/>
        <v>000</v>
      </c>
      <c r="AK48" s="116" t="str">
        <f t="shared" si="52"/>
        <v>000</v>
      </c>
      <c r="AL48" s="117"/>
      <c r="AM48" s="118" t="str">
        <f t="shared" si="41"/>
        <v>км 0+000 - км 0+000</v>
      </c>
      <c r="AN48" s="119" t="str">
        <f t="shared" si="53"/>
        <v/>
      </c>
      <c r="AO48" s="148" t="e">
        <f t="shared" si="54"/>
        <v>#VALUE!</v>
      </c>
      <c r="AP48" s="120">
        <f t="shared" si="42"/>
        <v>0</v>
      </c>
      <c r="AQ48" s="115">
        <f t="shared" si="43"/>
        <v>0</v>
      </c>
      <c r="AR48" s="121"/>
      <c r="AS48" s="122">
        <f t="shared" si="44"/>
        <v>0</v>
      </c>
      <c r="AT48" s="122">
        <f t="shared" si="45"/>
        <v>0</v>
      </c>
      <c r="AU48" s="123">
        <f t="shared" si="46"/>
        <v>0</v>
      </c>
      <c r="AV48" s="124">
        <f t="shared" si="47"/>
        <v>0</v>
      </c>
      <c r="AW48" s="124" t="str">
        <f t="shared" si="48"/>
        <v>-</v>
      </c>
      <c r="AX48" s="125"/>
      <c r="AY48" s="122" t="str">
        <f t="shared" si="55"/>
        <v>км 0+000 - км 0+000</v>
      </c>
      <c r="AZ48" s="124" t="str">
        <f t="shared" si="56"/>
        <v>-</v>
      </c>
      <c r="BA48" s="126">
        <f t="shared" si="57"/>
        <v>0.5</v>
      </c>
      <c r="BB48" s="125"/>
      <c r="BC48" s="125"/>
      <c r="BD48" s="123" t="str">
        <f t="shared" si="58"/>
        <v>км 0+000 - км 0+000</v>
      </c>
      <c r="BE48" s="126">
        <f t="shared" si="59"/>
        <v>0.5</v>
      </c>
      <c r="BF48" s="149" t="e">
        <f t="shared" ca="1" si="49"/>
        <v>#N/A</v>
      </c>
    </row>
    <row r="49" spans="1:58" ht="16.5" x14ac:dyDescent="0.25">
      <c r="A49" s="105">
        <f t="shared" si="23"/>
        <v>0</v>
      </c>
      <c r="B49" s="105"/>
      <c r="C49" s="106">
        <f t="shared" si="22"/>
        <v>0</v>
      </c>
      <c r="D49" s="150"/>
      <c r="E49" s="151"/>
      <c r="F49" s="151"/>
      <c r="G49" s="152"/>
      <c r="H49" s="152"/>
      <c r="I49" s="152"/>
      <c r="J49" s="152"/>
      <c r="K49" s="152"/>
      <c r="L49" s="152"/>
      <c r="M49" s="153"/>
      <c r="N49" s="154" t="str">
        <f>IFERROR(VLOOKUP($F49,Лист1!$A$4:$F$72,2,FALSE),"")</f>
        <v/>
      </c>
      <c r="O49" s="154" t="str">
        <f>IFERROR(VLOOKUP($G49,Лист1!$A$4:$F$72,2,FALSE),"")</f>
        <v/>
      </c>
      <c r="P49" s="155" t="str">
        <f>IFERROR(VLOOKUP($H49,Лист1!$A$4:$F$72,2,FALSE),"")</f>
        <v/>
      </c>
      <c r="Q49" s="155" t="str">
        <f>IFERROR(VLOOKUP($I49,Лист1!$A$4:$F$72,2,FALSE),"")</f>
        <v/>
      </c>
      <c r="R49" s="155" t="str">
        <f>IFERROR(VLOOKUP($J49,Лист1!$A$4:$F$72,2,FALSE),"")</f>
        <v/>
      </c>
      <c r="S49" s="155" t="str">
        <f>IFERROR(VLOOKUP($K49,Лист1!$A$4:$F$72,2,FALSE),"")</f>
        <v/>
      </c>
      <c r="T49" s="155" t="str">
        <f>IFERROR(VLOOKUP($L49,Лист1!$A$4:$F$72,2,FALSE),"")</f>
        <v/>
      </c>
      <c r="U49" s="155" t="str">
        <f t="shared" si="50"/>
        <v/>
      </c>
      <c r="V49" s="156" t="str">
        <f>IFERROR(VLOOKUP($F49,Лист1!$A$4:$F$72,3,FALSE),"")</f>
        <v/>
      </c>
      <c r="W49" s="157" t="str">
        <f>IFERROR(VLOOKUP($G49,Лист1!$A$4:$F$72,3,FALSE),"")</f>
        <v/>
      </c>
      <c r="X49" s="157" t="str">
        <f>IFERROR(VLOOKUP($H49,Лист1!$A$4:$F$72,3,FALSE),"")</f>
        <v/>
      </c>
      <c r="Y49" s="157" t="str">
        <f>IFERROR(VLOOKUP($I49,Лист1!$A$4:$F$72,3,FALSE),"")</f>
        <v/>
      </c>
      <c r="Z49" s="157" t="str">
        <f>IFERROR(VLOOKUP($J49,Лист1!$A$4:$F$72,3,FALSE),"")</f>
        <v/>
      </c>
      <c r="AA49" s="157" t="str">
        <f>IFERROR(VLOOKUP($K49,Лист1!$A$4:$F$72,3,FALSE),"")</f>
        <v/>
      </c>
      <c r="AB49" s="157" t="str">
        <f>IFERROR(VLOOKUP($L49,Лист1!$A$4:$F$72,3,FALSE),"")</f>
        <v/>
      </c>
      <c r="AC49" s="157" t="str">
        <f>IFERROR(VLOOKUP($M49,Лист1!$A$4:$F$72,3,FALSE),"")</f>
        <v/>
      </c>
      <c r="AD49" s="158">
        <f t="shared" si="35"/>
        <v>0</v>
      </c>
      <c r="AE49" s="159">
        <f t="shared" si="36"/>
        <v>0</v>
      </c>
      <c r="AF49" s="160">
        <f t="shared" si="37"/>
        <v>0</v>
      </c>
      <c r="AG49" s="160">
        <f t="shared" si="38"/>
        <v>0</v>
      </c>
      <c r="AH49" s="160">
        <f t="shared" si="39"/>
        <v>0</v>
      </c>
      <c r="AI49" s="161">
        <f t="shared" si="40"/>
        <v>0</v>
      </c>
      <c r="AJ49" s="161" t="str">
        <f t="shared" si="51"/>
        <v>000</v>
      </c>
      <c r="AK49" s="161" t="str">
        <f t="shared" si="52"/>
        <v>000</v>
      </c>
      <c r="AL49" s="162"/>
      <c r="AM49" s="163" t="str">
        <f t="shared" si="41"/>
        <v>км 0+000 - км 0+000</v>
      </c>
      <c r="AN49" s="164" t="str">
        <f t="shared" si="53"/>
        <v/>
      </c>
      <c r="AO49" s="165" t="e">
        <f t="shared" si="54"/>
        <v>#VALUE!</v>
      </c>
      <c r="AP49" s="166">
        <f t="shared" si="42"/>
        <v>0</v>
      </c>
      <c r="AQ49" s="167">
        <f t="shared" si="43"/>
        <v>0</v>
      </c>
      <c r="AR49" s="168"/>
      <c r="AS49" s="169">
        <f t="shared" si="44"/>
        <v>0</v>
      </c>
      <c r="AT49" s="169">
        <f t="shared" si="45"/>
        <v>0</v>
      </c>
      <c r="AU49" s="170">
        <f t="shared" si="46"/>
        <v>0</v>
      </c>
      <c r="AV49" s="171">
        <f t="shared" si="47"/>
        <v>0</v>
      </c>
      <c r="AW49" s="171" t="str">
        <f t="shared" si="48"/>
        <v>-</v>
      </c>
      <c r="AX49" s="172"/>
      <c r="AY49" s="173" t="str">
        <f t="shared" si="55"/>
        <v>км 0+000 - км 0+000</v>
      </c>
      <c r="AZ49" s="174" t="str">
        <f t="shared" si="56"/>
        <v>-</v>
      </c>
      <c r="BA49" s="175">
        <f t="shared" si="57"/>
        <v>0.5</v>
      </c>
      <c r="BB49" s="172"/>
      <c r="BC49" s="172"/>
      <c r="BD49" s="170" t="str">
        <f t="shared" si="58"/>
        <v>км 0+000 - км 0+000</v>
      </c>
      <c r="BE49" s="176">
        <f t="shared" si="59"/>
        <v>0.5</v>
      </c>
      <c r="BF49" s="177" t="e">
        <f t="shared" ca="1" si="49"/>
        <v>#N/A</v>
      </c>
    </row>
    <row r="50" spans="1:58" ht="16.5" x14ac:dyDescent="0.25">
      <c r="A50" s="105">
        <f t="shared" si="23"/>
        <v>0</v>
      </c>
      <c r="B50" s="105"/>
      <c r="C50" s="106">
        <f t="shared" si="22"/>
        <v>0</v>
      </c>
      <c r="D50" s="107"/>
      <c r="E50" s="108"/>
      <c r="F50" s="108"/>
      <c r="G50" s="108"/>
      <c r="H50" s="108"/>
      <c r="I50" s="108"/>
      <c r="J50" s="108"/>
      <c r="K50" s="108"/>
      <c r="L50" s="108"/>
      <c r="M50" s="109"/>
      <c r="N50" s="142" t="str">
        <f>IFERROR(VLOOKUP($F50,Лист1!$A$4:$F$72,2,FALSE),"")</f>
        <v/>
      </c>
      <c r="O50" s="142" t="str">
        <f>IFERROR(VLOOKUP($G50,Лист1!$A$4:$F$72,2,FALSE),"")</f>
        <v/>
      </c>
      <c r="P50" s="110" t="str">
        <f>IFERROR(VLOOKUP($H50,Лист1!$A$4:$F$72,2,FALSE),"")</f>
        <v/>
      </c>
      <c r="Q50" s="110" t="str">
        <f>IFERROR(VLOOKUP($I50,Лист1!$A$4:$F$72,2,FALSE),"")</f>
        <v/>
      </c>
      <c r="R50" s="110" t="str">
        <f>IFERROR(VLOOKUP($J50,Лист1!$A$4:$F$72,2,FALSE),"")</f>
        <v/>
      </c>
      <c r="S50" s="110" t="str">
        <f>IFERROR(VLOOKUP($K50,Лист1!$A$4:$F$72,2,FALSE),"")</f>
        <v/>
      </c>
      <c r="T50" s="110" t="str">
        <f>IFERROR(VLOOKUP($L50,Лист1!$A$4:$F$72,2,FALSE),"")</f>
        <v/>
      </c>
      <c r="U50" s="110" t="str">
        <f t="shared" si="50"/>
        <v/>
      </c>
      <c r="V50" s="143" t="str">
        <f>IFERROR(VLOOKUP($F50,Лист1!$A$4:$F$72,3,FALSE),"")</f>
        <v/>
      </c>
      <c r="W50" s="111" t="str">
        <f>IFERROR(VLOOKUP($G50,Лист1!$A$4:$F$72,3,FALSE),"")</f>
        <v/>
      </c>
      <c r="X50" s="111" t="str">
        <f>IFERROR(VLOOKUP($H50,Лист1!$A$4:$F$72,3,FALSE),"")</f>
        <v/>
      </c>
      <c r="Y50" s="111" t="str">
        <f>IFERROR(VLOOKUP($I50,Лист1!$A$4:$F$72,3,FALSE),"")</f>
        <v/>
      </c>
      <c r="Z50" s="111" t="str">
        <f>IFERROR(VLOOKUP($J50,Лист1!$A$4:$F$72,3,FALSE),"")</f>
        <v/>
      </c>
      <c r="AA50" s="111" t="str">
        <f>IFERROR(VLOOKUP($K50,Лист1!$A$4:$F$72,3,FALSE),"")</f>
        <v/>
      </c>
      <c r="AB50" s="111" t="str">
        <f>IFERROR(VLOOKUP($L50,Лист1!$A$4:$F$72,3,FALSE),"")</f>
        <v/>
      </c>
      <c r="AC50" s="111" t="str">
        <f>IFERROR(VLOOKUP($M50,Лист1!$A$4:$F$72,3,FALSE),"")</f>
        <v/>
      </c>
      <c r="AD50" s="147">
        <f t="shared" si="35"/>
        <v>0</v>
      </c>
      <c r="AE50" s="113">
        <f t="shared" si="36"/>
        <v>0</v>
      </c>
      <c r="AF50" s="114">
        <f t="shared" si="37"/>
        <v>0</v>
      </c>
      <c r="AG50" s="114">
        <f t="shared" si="38"/>
        <v>0</v>
      </c>
      <c r="AH50" s="114">
        <f t="shared" si="39"/>
        <v>0</v>
      </c>
      <c r="AI50" s="116">
        <f t="shared" si="40"/>
        <v>0</v>
      </c>
      <c r="AJ50" s="116" t="str">
        <f t="shared" si="51"/>
        <v>000</v>
      </c>
      <c r="AK50" s="116" t="str">
        <f t="shared" si="52"/>
        <v>000</v>
      </c>
      <c r="AL50" s="117"/>
      <c r="AM50" s="118" t="str">
        <f t="shared" si="41"/>
        <v>км 0+000 - км 0+000</v>
      </c>
      <c r="AN50" s="119" t="str">
        <f t="shared" si="53"/>
        <v/>
      </c>
      <c r="AO50" s="148" t="e">
        <f t="shared" si="54"/>
        <v>#VALUE!</v>
      </c>
      <c r="AP50" s="120">
        <f t="shared" si="42"/>
        <v>0</v>
      </c>
      <c r="AQ50" s="115">
        <f t="shared" si="43"/>
        <v>0</v>
      </c>
      <c r="AR50" s="121"/>
      <c r="AS50" s="122">
        <f t="shared" si="44"/>
        <v>0</v>
      </c>
      <c r="AT50" s="122">
        <f t="shared" si="45"/>
        <v>0</v>
      </c>
      <c r="AU50" s="123">
        <f t="shared" si="46"/>
        <v>0</v>
      </c>
      <c r="AV50" s="124">
        <f t="shared" si="47"/>
        <v>0</v>
      </c>
      <c r="AW50" s="124" t="str">
        <f t="shared" si="48"/>
        <v>-</v>
      </c>
      <c r="AX50" s="125"/>
      <c r="AY50" s="122" t="str">
        <f t="shared" si="55"/>
        <v>км 0+000 - км 0+000</v>
      </c>
      <c r="AZ50" s="124" t="str">
        <f t="shared" si="56"/>
        <v>-</v>
      </c>
      <c r="BA50" s="126">
        <f t="shared" si="57"/>
        <v>0.5</v>
      </c>
      <c r="BB50" s="125"/>
      <c r="BC50" s="125"/>
      <c r="BD50" s="123" t="str">
        <f t="shared" si="58"/>
        <v>км 0+000 - км 0+000</v>
      </c>
      <c r="BE50" s="126">
        <f t="shared" si="59"/>
        <v>0.5</v>
      </c>
      <c r="BF50" s="149" t="e">
        <f t="shared" ca="1" si="49"/>
        <v>#N/A</v>
      </c>
    </row>
    <row r="51" spans="1:58" ht="16.5" x14ac:dyDescent="0.25">
      <c r="A51" s="105">
        <f t="shared" si="23"/>
        <v>0</v>
      </c>
      <c r="B51" s="105"/>
      <c r="C51" s="106">
        <f t="shared" si="22"/>
        <v>0</v>
      </c>
      <c r="D51" s="150"/>
      <c r="E51" s="151"/>
      <c r="F51" s="151"/>
      <c r="G51" s="152"/>
      <c r="H51" s="152"/>
      <c r="I51" s="152"/>
      <c r="J51" s="152"/>
      <c r="K51" s="152"/>
      <c r="L51" s="152"/>
      <c r="M51" s="153"/>
      <c r="N51" s="154" t="str">
        <f>IFERROR(VLOOKUP($F51,Лист1!$A$4:$F$72,2,FALSE),"")</f>
        <v/>
      </c>
      <c r="O51" s="154" t="str">
        <f>IFERROR(VLOOKUP($G51,Лист1!$A$4:$F$72,2,FALSE),"")</f>
        <v/>
      </c>
      <c r="P51" s="155" t="str">
        <f>IFERROR(VLOOKUP($H51,Лист1!$A$4:$F$72,2,FALSE),"")</f>
        <v/>
      </c>
      <c r="Q51" s="155" t="str">
        <f>IFERROR(VLOOKUP($I51,Лист1!$A$4:$F$72,2,FALSE),"")</f>
        <v/>
      </c>
      <c r="R51" s="155" t="str">
        <f>IFERROR(VLOOKUP($J51,Лист1!$A$4:$F$72,2,FALSE),"")</f>
        <v/>
      </c>
      <c r="S51" s="155" t="str">
        <f>IFERROR(VLOOKUP($K51,Лист1!$A$4:$F$72,2,FALSE),"")</f>
        <v/>
      </c>
      <c r="T51" s="155" t="str">
        <f>IFERROR(VLOOKUP($L51,Лист1!$A$4:$F$72,2,FALSE),"")</f>
        <v/>
      </c>
      <c r="U51" s="155" t="str">
        <f t="shared" si="50"/>
        <v/>
      </c>
      <c r="V51" s="156" t="str">
        <f>IFERROR(VLOOKUP($F51,Лист1!$A$4:$F$72,3,FALSE),"")</f>
        <v/>
      </c>
      <c r="W51" s="157" t="str">
        <f>IFERROR(VLOOKUP($G51,Лист1!$A$4:$F$72,3,FALSE),"")</f>
        <v/>
      </c>
      <c r="X51" s="157" t="str">
        <f>IFERROR(VLOOKUP($H51,Лист1!$A$4:$F$72,3,FALSE),"")</f>
        <v/>
      </c>
      <c r="Y51" s="157" t="str">
        <f>IFERROR(VLOOKUP($I51,Лист1!$A$4:$F$72,3,FALSE),"")</f>
        <v/>
      </c>
      <c r="Z51" s="157" t="str">
        <f>IFERROR(VLOOKUP($J51,Лист1!$A$4:$F$72,3,FALSE),"")</f>
        <v/>
      </c>
      <c r="AA51" s="157" t="str">
        <f>IFERROR(VLOOKUP($K51,Лист1!$A$4:$F$72,3,FALSE),"")</f>
        <v/>
      </c>
      <c r="AB51" s="157" t="str">
        <f>IFERROR(VLOOKUP($L51,Лист1!$A$4:$F$72,3,FALSE),"")</f>
        <v/>
      </c>
      <c r="AC51" s="157" t="str">
        <f>IFERROR(VLOOKUP($M51,Лист1!$A$4:$F$72,3,FALSE),"")</f>
        <v/>
      </c>
      <c r="AD51" s="158">
        <f t="shared" si="35"/>
        <v>0</v>
      </c>
      <c r="AE51" s="159">
        <f t="shared" si="36"/>
        <v>0</v>
      </c>
      <c r="AF51" s="160">
        <f t="shared" si="37"/>
        <v>0</v>
      </c>
      <c r="AG51" s="160">
        <f t="shared" si="38"/>
        <v>0</v>
      </c>
      <c r="AH51" s="160">
        <f t="shared" si="39"/>
        <v>0</v>
      </c>
      <c r="AI51" s="161">
        <f t="shared" si="40"/>
        <v>0</v>
      </c>
      <c r="AJ51" s="161" t="str">
        <f t="shared" si="51"/>
        <v>000</v>
      </c>
      <c r="AK51" s="161" t="str">
        <f t="shared" si="52"/>
        <v>000</v>
      </c>
      <c r="AL51" s="162"/>
      <c r="AM51" s="163" t="str">
        <f t="shared" si="41"/>
        <v>км 0+000 - км 0+000</v>
      </c>
      <c r="AN51" s="164" t="str">
        <f t="shared" si="53"/>
        <v/>
      </c>
      <c r="AO51" s="165" t="e">
        <f t="shared" si="54"/>
        <v>#VALUE!</v>
      </c>
      <c r="AP51" s="166">
        <f t="shared" si="42"/>
        <v>0</v>
      </c>
      <c r="AQ51" s="167">
        <f t="shared" si="43"/>
        <v>0</v>
      </c>
      <c r="AR51" s="168"/>
      <c r="AS51" s="169">
        <f t="shared" si="44"/>
        <v>0</v>
      </c>
      <c r="AT51" s="169">
        <f t="shared" si="45"/>
        <v>0</v>
      </c>
      <c r="AU51" s="170">
        <f t="shared" si="46"/>
        <v>0</v>
      </c>
      <c r="AV51" s="171">
        <f t="shared" si="47"/>
        <v>0</v>
      </c>
      <c r="AW51" s="171" t="str">
        <f t="shared" si="48"/>
        <v>-</v>
      </c>
      <c r="AX51" s="172"/>
      <c r="AY51" s="173" t="str">
        <f t="shared" si="55"/>
        <v>км 0+000 - км 0+000</v>
      </c>
      <c r="AZ51" s="174" t="str">
        <f t="shared" si="56"/>
        <v>-</v>
      </c>
      <c r="BA51" s="175">
        <f t="shared" si="57"/>
        <v>0.5</v>
      </c>
      <c r="BB51" s="172"/>
      <c r="BC51" s="172"/>
      <c r="BD51" s="170" t="str">
        <f t="shared" si="58"/>
        <v>км 0+000 - км 0+000</v>
      </c>
      <c r="BE51" s="176">
        <f t="shared" si="59"/>
        <v>0.5</v>
      </c>
      <c r="BF51" s="177" t="e">
        <f t="shared" ca="1" si="49"/>
        <v>#N/A</v>
      </c>
    </row>
  </sheetData>
  <dataConsolidate/>
  <mergeCells count="16">
    <mergeCell ref="D6:E6"/>
    <mergeCell ref="AM6:AO7"/>
    <mergeCell ref="D7:E7"/>
    <mergeCell ref="AM2:AO4"/>
    <mergeCell ref="C4:D4"/>
    <mergeCell ref="G4:J4"/>
    <mergeCell ref="K4:L4"/>
    <mergeCell ref="C5:D5"/>
    <mergeCell ref="C2:D2"/>
    <mergeCell ref="G2:J2"/>
    <mergeCell ref="K2:L2"/>
    <mergeCell ref="C3:D3"/>
    <mergeCell ref="G3:J3"/>
    <mergeCell ref="K3:L3"/>
    <mergeCell ref="G5:J5"/>
    <mergeCell ref="K5:L5"/>
  </mergeCells>
  <dataValidations count="2">
    <dataValidation type="list" allowBlank="1" showInputMessage="1" showErrorMessage="1" sqref="E2">
      <formula1>"капитальная,облегченная"</formula1>
    </dataValidation>
    <dataValidation type="list" allowBlank="1" showInputMessage="1" showErrorMessage="1" sqref="B3">
      <formula1>"дорога,улица,подъезд"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ИД</vt:lpstr>
      <vt:lpstr>В обсл</vt:lpstr>
      <vt:lpstr>аб1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Наташенька</dc:creator>
  <cp:lastModifiedBy>Алексей Кривошапкин</cp:lastModifiedBy>
  <dcterms:created xsi:type="dcterms:W3CDTF">2016-06-06T18:18:21Z</dcterms:created>
  <dcterms:modified xsi:type="dcterms:W3CDTF">2026-03-19T07:06:23Z</dcterms:modified>
</cp:coreProperties>
</file>