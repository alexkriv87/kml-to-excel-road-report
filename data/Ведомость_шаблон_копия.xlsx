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rivoshapkin.ai\Desktop\Разработка программ\Ведомость дорог\data\"/>
    </mc:Choice>
  </mc:AlternateContent>
  <bookViews>
    <workbookView xWindow="0" yWindow="0" windowWidth="38400" windowHeight="16425" tabRatio="706" activeTab="3"/>
  </bookViews>
  <sheets>
    <sheet name="Лист1" sheetId="1" r:id="rId1"/>
    <sheet name="ИД" sheetId="281" r:id="rId2"/>
    <sheet name="В обсл" sheetId="444" r:id="rId3"/>
    <sheet name="аб1" sheetId="90" r:id="rId4"/>
  </sheets>
  <definedNames>
    <definedName name="_Hlk26540438" localSheetId="1">ИД!#REF!</definedName>
    <definedName name="_xlnm._FilterDatabase" localSheetId="2" hidden="1">'В обсл'!$A$1:$G$29</definedName>
    <definedName name="_xlnm._FilterDatabase" localSheetId="1" hidden="1">ИД!$A$1:$P$27</definedName>
  </definedNames>
  <calcPr calcId="162913"/>
</workbook>
</file>

<file path=xl/calcChain.xml><?xml version="1.0" encoding="utf-8"?>
<calcChain xmlns="http://schemas.openxmlformats.org/spreadsheetml/2006/main">
  <c r="K2" i="90" l="1"/>
  <c r="AC131" i="90" l="1"/>
  <c r="AB131" i="90"/>
  <c r="AA131" i="90"/>
  <c r="Z131" i="90"/>
  <c r="Y131" i="90"/>
  <c r="X131" i="90"/>
  <c r="W131" i="90"/>
  <c r="V131" i="90"/>
  <c r="U131" i="90"/>
  <c r="T131" i="90"/>
  <c r="S131" i="90"/>
  <c r="R131" i="90"/>
  <c r="Q131" i="90"/>
  <c r="P131" i="90"/>
  <c r="O131" i="90"/>
  <c r="N131" i="90"/>
  <c r="AC130" i="90"/>
  <c r="AB130" i="90"/>
  <c r="AA130" i="90"/>
  <c r="Z130" i="90"/>
  <c r="Y130" i="90"/>
  <c r="X130" i="90"/>
  <c r="W130" i="90"/>
  <c r="V130" i="90"/>
  <c r="AP130" i="90" s="1"/>
  <c r="BE130" i="90" s="1"/>
  <c r="BA130" i="90" s="1"/>
  <c r="U130" i="90"/>
  <c r="T130" i="90"/>
  <c r="S130" i="90"/>
  <c r="R130" i="90"/>
  <c r="Q130" i="90"/>
  <c r="P130" i="90"/>
  <c r="O130" i="90"/>
  <c r="AN130" i="90" s="1"/>
  <c r="AO130" i="90" s="1"/>
  <c r="N130" i="90"/>
  <c r="AC129" i="90"/>
  <c r="AB129" i="90"/>
  <c r="AA129" i="90"/>
  <c r="Z129" i="90"/>
  <c r="Y129" i="90"/>
  <c r="X129" i="90"/>
  <c r="W129" i="90"/>
  <c r="V129" i="90"/>
  <c r="U129" i="90"/>
  <c r="T129" i="90"/>
  <c r="S129" i="90"/>
  <c r="R129" i="90"/>
  <c r="Q129" i="90"/>
  <c r="P129" i="90"/>
  <c r="O129" i="90"/>
  <c r="N129" i="90"/>
  <c r="AN129" i="90" s="1"/>
  <c r="AO129" i="90" s="1"/>
  <c r="AC128" i="90"/>
  <c r="AB128" i="90"/>
  <c r="AA128" i="90"/>
  <c r="Z128" i="90"/>
  <c r="Y128" i="90"/>
  <c r="X128" i="90"/>
  <c r="W128" i="90"/>
  <c r="V128" i="90"/>
  <c r="U128" i="90"/>
  <c r="T128" i="90"/>
  <c r="S128" i="90"/>
  <c r="R128" i="90"/>
  <c r="Q128" i="90"/>
  <c r="P128" i="90"/>
  <c r="O128" i="90"/>
  <c r="N128" i="90"/>
  <c r="AC127" i="90"/>
  <c r="AB127" i="90"/>
  <c r="AA127" i="90"/>
  <c r="Z127" i="90"/>
  <c r="Y127" i="90"/>
  <c r="X127" i="90"/>
  <c r="W127" i="90"/>
  <c r="V127" i="90"/>
  <c r="AP127" i="90" s="1"/>
  <c r="U127" i="90"/>
  <c r="T127" i="90"/>
  <c r="S127" i="90"/>
  <c r="R127" i="90"/>
  <c r="Q127" i="90"/>
  <c r="P127" i="90"/>
  <c r="O127" i="90"/>
  <c r="N127" i="90"/>
  <c r="AC126" i="90"/>
  <c r="AB126" i="90"/>
  <c r="AA126" i="90"/>
  <c r="Z126" i="90"/>
  <c r="Y126" i="90"/>
  <c r="X126" i="90"/>
  <c r="W126" i="90"/>
  <c r="V126" i="90"/>
  <c r="U126" i="90"/>
  <c r="T126" i="90"/>
  <c r="S126" i="90"/>
  <c r="R126" i="90"/>
  <c r="Q126" i="90"/>
  <c r="P126" i="90"/>
  <c r="O126" i="90"/>
  <c r="N126" i="90"/>
  <c r="AC125" i="90"/>
  <c r="AB125" i="90"/>
  <c r="AA125" i="90"/>
  <c r="Z125" i="90"/>
  <c r="Y125" i="90"/>
  <c r="X125" i="90"/>
  <c r="W125" i="90"/>
  <c r="V125" i="90"/>
  <c r="U125" i="90"/>
  <c r="T125" i="90"/>
  <c r="S125" i="90"/>
  <c r="R125" i="90"/>
  <c r="Q125" i="90"/>
  <c r="P125" i="90"/>
  <c r="O125" i="90"/>
  <c r="N125" i="90"/>
  <c r="AC124" i="90"/>
  <c r="AB124" i="90"/>
  <c r="AA124" i="90"/>
  <c r="Z124" i="90"/>
  <c r="Y124" i="90"/>
  <c r="X124" i="90"/>
  <c r="W124" i="90"/>
  <c r="V124" i="90"/>
  <c r="U124" i="90"/>
  <c r="T124" i="90"/>
  <c r="S124" i="90"/>
  <c r="R124" i="90"/>
  <c r="Q124" i="90"/>
  <c r="P124" i="90"/>
  <c r="O124" i="90"/>
  <c r="N124" i="90"/>
  <c r="AC123" i="90"/>
  <c r="AB123" i="90"/>
  <c r="AA123" i="90"/>
  <c r="Z123" i="90"/>
  <c r="Y123" i="90"/>
  <c r="X123" i="90"/>
  <c r="W123" i="90"/>
  <c r="V123" i="90"/>
  <c r="U123" i="90"/>
  <c r="T123" i="90"/>
  <c r="S123" i="90"/>
  <c r="R123" i="90"/>
  <c r="Q123" i="90"/>
  <c r="P123" i="90"/>
  <c r="O123" i="90"/>
  <c r="N123" i="90"/>
  <c r="AC122" i="90"/>
  <c r="AB122" i="90"/>
  <c r="AA122" i="90"/>
  <c r="Z122" i="90"/>
  <c r="Y122" i="90"/>
  <c r="X122" i="90"/>
  <c r="W122" i="90"/>
  <c r="V122" i="90"/>
  <c r="U122" i="90"/>
  <c r="T122" i="90"/>
  <c r="S122" i="90"/>
  <c r="R122" i="90"/>
  <c r="Q122" i="90"/>
  <c r="P122" i="90"/>
  <c r="O122" i="90"/>
  <c r="N122" i="90"/>
  <c r="AC121" i="90"/>
  <c r="AB121" i="90"/>
  <c r="AA121" i="90"/>
  <c r="Z121" i="90"/>
  <c r="Y121" i="90"/>
  <c r="X121" i="90"/>
  <c r="W121" i="90"/>
  <c r="V121" i="90"/>
  <c r="AP121" i="90" s="1"/>
  <c r="BE121" i="90" s="1"/>
  <c r="BA121" i="90" s="1"/>
  <c r="U121" i="90"/>
  <c r="T121" i="90"/>
  <c r="S121" i="90"/>
  <c r="R121" i="90"/>
  <c r="Q121" i="90"/>
  <c r="P121" i="90"/>
  <c r="O121" i="90"/>
  <c r="AN121" i="90" s="1"/>
  <c r="AO121" i="90" s="1"/>
  <c r="N121" i="90"/>
  <c r="AC120" i="90"/>
  <c r="AB120" i="90"/>
  <c r="AA120" i="90"/>
  <c r="Z120" i="90"/>
  <c r="Y120" i="90"/>
  <c r="X120" i="90"/>
  <c r="W120" i="90"/>
  <c r="V120" i="90"/>
  <c r="U120" i="90"/>
  <c r="T120" i="90"/>
  <c r="S120" i="90"/>
  <c r="R120" i="90"/>
  <c r="Q120" i="90"/>
  <c r="P120" i="90"/>
  <c r="O120" i="90"/>
  <c r="N120" i="90"/>
  <c r="AC119" i="90"/>
  <c r="AB119" i="90"/>
  <c r="AA119" i="90"/>
  <c r="Z119" i="90"/>
  <c r="Y119" i="90"/>
  <c r="X119" i="90"/>
  <c r="W119" i="90"/>
  <c r="V119" i="90"/>
  <c r="U119" i="90"/>
  <c r="T119" i="90"/>
  <c r="S119" i="90"/>
  <c r="R119" i="90"/>
  <c r="Q119" i="90"/>
  <c r="P119" i="90"/>
  <c r="O119" i="90"/>
  <c r="N119" i="90"/>
  <c r="AC118" i="90"/>
  <c r="AB118" i="90"/>
  <c r="AA118" i="90"/>
  <c r="Z118" i="90"/>
  <c r="Y118" i="90"/>
  <c r="X118" i="90"/>
  <c r="W118" i="90"/>
  <c r="V118" i="90"/>
  <c r="AP118" i="90" s="1"/>
  <c r="BE118" i="90" s="1"/>
  <c r="BA118" i="90" s="1"/>
  <c r="U118" i="90"/>
  <c r="T118" i="90"/>
  <c r="S118" i="90"/>
  <c r="R118" i="90"/>
  <c r="Q118" i="90"/>
  <c r="P118" i="90"/>
  <c r="O118" i="90"/>
  <c r="AN118" i="90" s="1"/>
  <c r="AO118" i="90" s="1"/>
  <c r="N118" i="90"/>
  <c r="AC117" i="90"/>
  <c r="AB117" i="90"/>
  <c r="AA117" i="90"/>
  <c r="Z117" i="90"/>
  <c r="Y117" i="90"/>
  <c r="X117" i="90"/>
  <c r="W117" i="90"/>
  <c r="V117" i="90"/>
  <c r="U117" i="90"/>
  <c r="T117" i="90"/>
  <c r="S117" i="90"/>
  <c r="R117" i="90"/>
  <c r="Q117" i="90"/>
  <c r="P117" i="90"/>
  <c r="O117" i="90"/>
  <c r="N117" i="90"/>
  <c r="AC116" i="90"/>
  <c r="AB116" i="90"/>
  <c r="AA116" i="90"/>
  <c r="Z116" i="90"/>
  <c r="Y116" i="90"/>
  <c r="X116" i="90"/>
  <c r="W116" i="90"/>
  <c r="V116" i="90"/>
  <c r="U116" i="90"/>
  <c r="T116" i="90"/>
  <c r="S116" i="90"/>
  <c r="R116" i="90"/>
  <c r="Q116" i="90"/>
  <c r="P116" i="90"/>
  <c r="O116" i="90"/>
  <c r="N116" i="90"/>
  <c r="AC115" i="90"/>
  <c r="AB115" i="90"/>
  <c r="AA115" i="90"/>
  <c r="Z115" i="90"/>
  <c r="Y115" i="90"/>
  <c r="X115" i="90"/>
  <c r="W115" i="90"/>
  <c r="V115" i="90"/>
  <c r="AP115" i="90" s="1"/>
  <c r="U115" i="90"/>
  <c r="T115" i="90"/>
  <c r="S115" i="90"/>
  <c r="R115" i="90"/>
  <c r="Q115" i="90"/>
  <c r="P115" i="90"/>
  <c r="O115" i="90"/>
  <c r="N115" i="90"/>
  <c r="AC114" i="90"/>
  <c r="AB114" i="90"/>
  <c r="AA114" i="90"/>
  <c r="Z114" i="90"/>
  <c r="Y114" i="90"/>
  <c r="X114" i="90"/>
  <c r="W114" i="90"/>
  <c r="V114" i="90"/>
  <c r="U114" i="90"/>
  <c r="T114" i="90"/>
  <c r="S114" i="90"/>
  <c r="R114" i="90"/>
  <c r="Q114" i="90"/>
  <c r="P114" i="90"/>
  <c r="O114" i="90"/>
  <c r="N114" i="90"/>
  <c r="AN114" i="90" s="1"/>
  <c r="AO114" i="90" s="1"/>
  <c r="AC113" i="90"/>
  <c r="AB113" i="90"/>
  <c r="AA113" i="90"/>
  <c r="Z113" i="90"/>
  <c r="Y113" i="90"/>
  <c r="X113" i="90"/>
  <c r="W113" i="90"/>
  <c r="V113" i="90"/>
  <c r="U113" i="90"/>
  <c r="T113" i="90"/>
  <c r="S113" i="90"/>
  <c r="R113" i="90"/>
  <c r="Q113" i="90"/>
  <c r="P113" i="90"/>
  <c r="O113" i="90"/>
  <c r="N113" i="90"/>
  <c r="AC112" i="90"/>
  <c r="AB112" i="90"/>
  <c r="AA112" i="90"/>
  <c r="Z112" i="90"/>
  <c r="Y112" i="90"/>
  <c r="X112" i="90"/>
  <c r="W112" i="90"/>
  <c r="V112" i="90"/>
  <c r="U112" i="90"/>
  <c r="T112" i="90"/>
  <c r="S112" i="90"/>
  <c r="R112" i="90"/>
  <c r="Q112" i="90"/>
  <c r="P112" i="90"/>
  <c r="O112" i="90"/>
  <c r="N112" i="90"/>
  <c r="AC111" i="90"/>
  <c r="AB111" i="90"/>
  <c r="AA111" i="90"/>
  <c r="Z111" i="90"/>
  <c r="Y111" i="90"/>
  <c r="X111" i="90"/>
  <c r="W111" i="90"/>
  <c r="V111" i="90"/>
  <c r="U111" i="90"/>
  <c r="T111" i="90"/>
  <c r="S111" i="90"/>
  <c r="R111" i="90"/>
  <c r="Q111" i="90"/>
  <c r="P111" i="90"/>
  <c r="O111" i="90"/>
  <c r="N111" i="90"/>
  <c r="AC110" i="90"/>
  <c r="AB110" i="90"/>
  <c r="AA110" i="90"/>
  <c r="Z110" i="90"/>
  <c r="Y110" i="90"/>
  <c r="X110" i="90"/>
  <c r="W110" i="90"/>
  <c r="V110" i="90"/>
  <c r="U110" i="90"/>
  <c r="T110" i="90"/>
  <c r="S110" i="90"/>
  <c r="R110" i="90"/>
  <c r="Q110" i="90"/>
  <c r="P110" i="90"/>
  <c r="O110" i="90"/>
  <c r="N110" i="90"/>
  <c r="AC109" i="90"/>
  <c r="AB109" i="90"/>
  <c r="AA109" i="90"/>
  <c r="Z109" i="90"/>
  <c r="Y109" i="90"/>
  <c r="X109" i="90"/>
  <c r="W109" i="90"/>
  <c r="V109" i="90"/>
  <c r="U109" i="90"/>
  <c r="T109" i="90"/>
  <c r="S109" i="90"/>
  <c r="R109" i="90"/>
  <c r="Q109" i="90"/>
  <c r="P109" i="90"/>
  <c r="O109" i="90"/>
  <c r="AN109" i="90" s="1"/>
  <c r="AO109" i="90" s="1"/>
  <c r="N109" i="90"/>
  <c r="AC108" i="90"/>
  <c r="AB108" i="90"/>
  <c r="AA108" i="90"/>
  <c r="Z108" i="90"/>
  <c r="AP108" i="90" s="1"/>
  <c r="BE108" i="90" s="1"/>
  <c r="BA108" i="90" s="1"/>
  <c r="Y108" i="90"/>
  <c r="X108" i="90"/>
  <c r="W108" i="90"/>
  <c r="V108" i="90"/>
  <c r="U108" i="90"/>
  <c r="T108" i="90"/>
  <c r="S108" i="90"/>
  <c r="R108" i="90"/>
  <c r="Q108" i="90"/>
  <c r="P108" i="90"/>
  <c r="O108" i="90"/>
  <c r="N108" i="90"/>
  <c r="AC107" i="90"/>
  <c r="AB107" i="90"/>
  <c r="AA107" i="90"/>
  <c r="Z107" i="90"/>
  <c r="Y107" i="90"/>
  <c r="X107" i="90"/>
  <c r="W107" i="90"/>
  <c r="V107" i="90"/>
  <c r="U107" i="90"/>
  <c r="T107" i="90"/>
  <c r="S107" i="90"/>
  <c r="R107" i="90"/>
  <c r="Q107" i="90"/>
  <c r="P107" i="90"/>
  <c r="O107" i="90"/>
  <c r="N107" i="90"/>
  <c r="AC106" i="90"/>
  <c r="AB106" i="90"/>
  <c r="AA106" i="90"/>
  <c r="Z106" i="90"/>
  <c r="Y106" i="90"/>
  <c r="X106" i="90"/>
  <c r="W106" i="90"/>
  <c r="V106" i="90"/>
  <c r="U106" i="90"/>
  <c r="T106" i="90"/>
  <c r="S106" i="90"/>
  <c r="R106" i="90"/>
  <c r="Q106" i="90"/>
  <c r="P106" i="90"/>
  <c r="O106" i="90"/>
  <c r="N106" i="90"/>
  <c r="AC105" i="90"/>
  <c r="AB105" i="90"/>
  <c r="AA105" i="90"/>
  <c r="Z105" i="90"/>
  <c r="Y105" i="90"/>
  <c r="X105" i="90"/>
  <c r="W105" i="90"/>
  <c r="V105" i="90"/>
  <c r="U105" i="90"/>
  <c r="T105" i="90"/>
  <c r="S105" i="90"/>
  <c r="R105" i="90"/>
  <c r="Q105" i="90"/>
  <c r="P105" i="90"/>
  <c r="O105" i="90"/>
  <c r="N105" i="90"/>
  <c r="AN105" i="90" s="1"/>
  <c r="AO105" i="90" s="1"/>
  <c r="AC104" i="90"/>
  <c r="AB104" i="90"/>
  <c r="AA104" i="90"/>
  <c r="Z104" i="90"/>
  <c r="Y104" i="90"/>
  <c r="X104" i="90"/>
  <c r="W104" i="90"/>
  <c r="V104" i="90"/>
  <c r="U104" i="90"/>
  <c r="T104" i="90"/>
  <c r="S104" i="90"/>
  <c r="R104" i="90"/>
  <c r="Q104" i="90"/>
  <c r="P104" i="90"/>
  <c r="O104" i="90"/>
  <c r="N104" i="90"/>
  <c r="AC103" i="90"/>
  <c r="AB103" i="90"/>
  <c r="AA103" i="90"/>
  <c r="Z103" i="90"/>
  <c r="Y103" i="90"/>
  <c r="X103" i="90"/>
  <c r="W103" i="90"/>
  <c r="V103" i="90"/>
  <c r="U103" i="90"/>
  <c r="T103" i="90"/>
  <c r="S103" i="90"/>
  <c r="R103" i="90"/>
  <c r="Q103" i="90"/>
  <c r="P103" i="90"/>
  <c r="O103" i="90"/>
  <c r="N103" i="90"/>
  <c r="AC102" i="90"/>
  <c r="AB102" i="90"/>
  <c r="AA102" i="90"/>
  <c r="Z102" i="90"/>
  <c r="AP102" i="90" s="1"/>
  <c r="BE102" i="90" s="1"/>
  <c r="BA102" i="90" s="1"/>
  <c r="Y102" i="90"/>
  <c r="X102" i="90"/>
  <c r="W102" i="90"/>
  <c r="V102" i="90"/>
  <c r="U102" i="90"/>
  <c r="T102" i="90"/>
  <c r="S102" i="90"/>
  <c r="R102" i="90"/>
  <c r="Q102" i="90"/>
  <c r="P102" i="90"/>
  <c r="O102" i="90"/>
  <c r="N102" i="90"/>
  <c r="AN102" i="90" s="1"/>
  <c r="AO102" i="90" s="1"/>
  <c r="AC101" i="90"/>
  <c r="AB101" i="90"/>
  <c r="AA101" i="90"/>
  <c r="Z101" i="90"/>
  <c r="Y101" i="90"/>
  <c r="X101" i="90"/>
  <c r="W101" i="90"/>
  <c r="V101" i="90"/>
  <c r="U101" i="90"/>
  <c r="T101" i="90"/>
  <c r="S101" i="90"/>
  <c r="R101" i="90"/>
  <c r="Q101" i="90"/>
  <c r="P101" i="90"/>
  <c r="O101" i="90"/>
  <c r="N101" i="90"/>
  <c r="AC100" i="90"/>
  <c r="AB100" i="90"/>
  <c r="AA100" i="90"/>
  <c r="Z100" i="90"/>
  <c r="Y100" i="90"/>
  <c r="X100" i="90"/>
  <c r="W100" i="90"/>
  <c r="V100" i="90"/>
  <c r="AP100" i="90" s="1"/>
  <c r="BE100" i="90" s="1"/>
  <c r="BA100" i="90" s="1"/>
  <c r="U100" i="90"/>
  <c r="T100" i="90"/>
  <c r="S100" i="90"/>
  <c r="R100" i="90"/>
  <c r="Q100" i="90"/>
  <c r="P100" i="90"/>
  <c r="O100" i="90"/>
  <c r="N100" i="90"/>
  <c r="AC99" i="90"/>
  <c r="AB99" i="90"/>
  <c r="AA99" i="90"/>
  <c r="Z99" i="90"/>
  <c r="Y99" i="90"/>
  <c r="X99" i="90"/>
  <c r="W99" i="90"/>
  <c r="V99" i="90"/>
  <c r="U99" i="90"/>
  <c r="T99" i="90"/>
  <c r="S99" i="90"/>
  <c r="R99" i="90"/>
  <c r="Q99" i="90"/>
  <c r="P99" i="90"/>
  <c r="O99" i="90"/>
  <c r="N99" i="90"/>
  <c r="AC98" i="90"/>
  <c r="AB98" i="90"/>
  <c r="AA98" i="90"/>
  <c r="Z98" i="90"/>
  <c r="Y98" i="90"/>
  <c r="X98" i="90"/>
  <c r="W98" i="90"/>
  <c r="V98" i="90"/>
  <c r="U98" i="90"/>
  <c r="T98" i="90"/>
  <c r="S98" i="90"/>
  <c r="R98" i="90"/>
  <c r="Q98" i="90"/>
  <c r="P98" i="90"/>
  <c r="O98" i="90"/>
  <c r="N98" i="90"/>
  <c r="AC97" i="90"/>
  <c r="AB97" i="90"/>
  <c r="AA97" i="90"/>
  <c r="Z97" i="90"/>
  <c r="Y97" i="90"/>
  <c r="X97" i="90"/>
  <c r="W97" i="90"/>
  <c r="V97" i="90"/>
  <c r="U97" i="90"/>
  <c r="T97" i="90"/>
  <c r="S97" i="90"/>
  <c r="R97" i="90"/>
  <c r="Q97" i="90"/>
  <c r="P97" i="90"/>
  <c r="O97" i="90"/>
  <c r="N97" i="90"/>
  <c r="AC96" i="90"/>
  <c r="AB96" i="90"/>
  <c r="AA96" i="90"/>
  <c r="Z96" i="90"/>
  <c r="Y96" i="90"/>
  <c r="X96" i="90"/>
  <c r="W96" i="90"/>
  <c r="V96" i="90"/>
  <c r="U96" i="90"/>
  <c r="T96" i="90"/>
  <c r="S96" i="90"/>
  <c r="R96" i="90"/>
  <c r="Q96" i="90"/>
  <c r="P96" i="90"/>
  <c r="O96" i="90"/>
  <c r="N96" i="90"/>
  <c r="AC95" i="90"/>
  <c r="AB95" i="90"/>
  <c r="AA95" i="90"/>
  <c r="Z95" i="90"/>
  <c r="Y95" i="90"/>
  <c r="X95" i="90"/>
  <c r="W95" i="90"/>
  <c r="V95" i="90"/>
  <c r="U95" i="90"/>
  <c r="T95" i="90"/>
  <c r="S95" i="90"/>
  <c r="R95" i="90"/>
  <c r="Q95" i="90"/>
  <c r="P95" i="90"/>
  <c r="O95" i="90"/>
  <c r="N95" i="90"/>
  <c r="AC94" i="90"/>
  <c r="AB94" i="90"/>
  <c r="AA94" i="90"/>
  <c r="Z94" i="90"/>
  <c r="Y94" i="90"/>
  <c r="X94" i="90"/>
  <c r="W94" i="90"/>
  <c r="V94" i="90"/>
  <c r="U94" i="90"/>
  <c r="T94" i="90"/>
  <c r="S94" i="90"/>
  <c r="R94" i="90"/>
  <c r="Q94" i="90"/>
  <c r="P94" i="90"/>
  <c r="O94" i="90"/>
  <c r="AN94" i="90" s="1"/>
  <c r="AO94" i="90" s="1"/>
  <c r="N94" i="90"/>
  <c r="AC93" i="90"/>
  <c r="AB93" i="90"/>
  <c r="AA93" i="90"/>
  <c r="Z93" i="90"/>
  <c r="Y93" i="90"/>
  <c r="X93" i="90"/>
  <c r="W93" i="90"/>
  <c r="V93" i="90"/>
  <c r="U93" i="90"/>
  <c r="T93" i="90"/>
  <c r="S93" i="90"/>
  <c r="R93" i="90"/>
  <c r="Q93" i="90"/>
  <c r="P93" i="90"/>
  <c r="O93" i="90"/>
  <c r="N93" i="90"/>
  <c r="AC92" i="90"/>
  <c r="AB92" i="90"/>
  <c r="AA92" i="90"/>
  <c r="Z92" i="90"/>
  <c r="Y92" i="90"/>
  <c r="X92" i="90"/>
  <c r="W92" i="90"/>
  <c r="V92" i="90"/>
  <c r="U92" i="90"/>
  <c r="T92" i="90"/>
  <c r="S92" i="90"/>
  <c r="R92" i="90"/>
  <c r="Q92" i="90"/>
  <c r="P92" i="90"/>
  <c r="O92" i="90"/>
  <c r="N92" i="90"/>
  <c r="AC91" i="90"/>
  <c r="AB91" i="90"/>
  <c r="AA91" i="90"/>
  <c r="Z91" i="90"/>
  <c r="Y91" i="90"/>
  <c r="X91" i="90"/>
  <c r="W91" i="90"/>
  <c r="V91" i="90"/>
  <c r="U91" i="90"/>
  <c r="T91" i="90"/>
  <c r="S91" i="90"/>
  <c r="R91" i="90"/>
  <c r="Q91" i="90"/>
  <c r="P91" i="90"/>
  <c r="O91" i="90"/>
  <c r="N91" i="90"/>
  <c r="AC90" i="90"/>
  <c r="AB90" i="90"/>
  <c r="AA90" i="90"/>
  <c r="Z90" i="90"/>
  <c r="Y90" i="90"/>
  <c r="X90" i="90"/>
  <c r="W90" i="90"/>
  <c r="V90" i="90"/>
  <c r="U90" i="90"/>
  <c r="T90" i="90"/>
  <c r="S90" i="90"/>
  <c r="R90" i="90"/>
  <c r="Q90" i="90"/>
  <c r="P90" i="90"/>
  <c r="O90" i="90"/>
  <c r="N90" i="90"/>
  <c r="AN90" i="90" s="1"/>
  <c r="AO90" i="90" s="1"/>
  <c r="AC89" i="90"/>
  <c r="AB89" i="90"/>
  <c r="AA89" i="90"/>
  <c r="Z89" i="90"/>
  <c r="Y89" i="90"/>
  <c r="X89" i="90"/>
  <c r="W89" i="90"/>
  <c r="V89" i="90"/>
  <c r="U89" i="90"/>
  <c r="T89" i="90"/>
  <c r="S89" i="90"/>
  <c r="R89" i="90"/>
  <c r="Q89" i="90"/>
  <c r="P89" i="90"/>
  <c r="O89" i="90"/>
  <c r="N89" i="90"/>
  <c r="AC88" i="90"/>
  <c r="AB88" i="90"/>
  <c r="AA88" i="90"/>
  <c r="Z88" i="90"/>
  <c r="Y88" i="90"/>
  <c r="X88" i="90"/>
  <c r="W88" i="90"/>
  <c r="V88" i="90"/>
  <c r="AP88" i="90" s="1"/>
  <c r="BE88" i="90" s="1"/>
  <c r="BA88" i="90" s="1"/>
  <c r="U88" i="90"/>
  <c r="T88" i="90"/>
  <c r="S88" i="90"/>
  <c r="R88" i="90"/>
  <c r="Q88" i="90"/>
  <c r="P88" i="90"/>
  <c r="O88" i="90"/>
  <c r="N88" i="90"/>
  <c r="AC87" i="90"/>
  <c r="AB87" i="90"/>
  <c r="AA87" i="90"/>
  <c r="Z87" i="90"/>
  <c r="Y87" i="90"/>
  <c r="X87" i="90"/>
  <c r="W87" i="90"/>
  <c r="V87" i="90"/>
  <c r="U87" i="90"/>
  <c r="T87" i="90"/>
  <c r="S87" i="90"/>
  <c r="R87" i="90"/>
  <c r="Q87" i="90"/>
  <c r="P87" i="90"/>
  <c r="O87" i="90"/>
  <c r="N87" i="90"/>
  <c r="AC86" i="90"/>
  <c r="AB86" i="90"/>
  <c r="AA86" i="90"/>
  <c r="Z86" i="90"/>
  <c r="Y86" i="90"/>
  <c r="X86" i="90"/>
  <c r="W86" i="90"/>
  <c r="V86" i="90"/>
  <c r="U86" i="90"/>
  <c r="T86" i="90"/>
  <c r="S86" i="90"/>
  <c r="R86" i="90"/>
  <c r="Q86" i="90"/>
  <c r="P86" i="90"/>
  <c r="O86" i="90"/>
  <c r="N86" i="90"/>
  <c r="AC85" i="90"/>
  <c r="AB85" i="90"/>
  <c r="AA85" i="90"/>
  <c r="Z85" i="90"/>
  <c r="Y85" i="90"/>
  <c r="X85" i="90"/>
  <c r="W85" i="90"/>
  <c r="V85" i="90"/>
  <c r="U85" i="90"/>
  <c r="T85" i="90"/>
  <c r="S85" i="90"/>
  <c r="R85" i="90"/>
  <c r="Q85" i="90"/>
  <c r="P85" i="90"/>
  <c r="O85" i="90"/>
  <c r="N85" i="90"/>
  <c r="AC84" i="90"/>
  <c r="AB84" i="90"/>
  <c r="AA84" i="90"/>
  <c r="Z84" i="90"/>
  <c r="Y84" i="90"/>
  <c r="X84" i="90"/>
  <c r="W84" i="90"/>
  <c r="V84" i="90"/>
  <c r="U84" i="90"/>
  <c r="T84" i="90"/>
  <c r="S84" i="90"/>
  <c r="R84" i="90"/>
  <c r="Q84" i="90"/>
  <c r="P84" i="90"/>
  <c r="O84" i="90"/>
  <c r="N84" i="90"/>
  <c r="AC83" i="90"/>
  <c r="AB83" i="90"/>
  <c r="AA83" i="90"/>
  <c r="Z83" i="90"/>
  <c r="Y83" i="90"/>
  <c r="X83" i="90"/>
  <c r="W83" i="90"/>
  <c r="V83" i="90"/>
  <c r="U83" i="90"/>
  <c r="T83" i="90"/>
  <c r="S83" i="90"/>
  <c r="R83" i="90"/>
  <c r="Q83" i="90"/>
  <c r="P83" i="90"/>
  <c r="O83" i="90"/>
  <c r="N83" i="90"/>
  <c r="AC82" i="90"/>
  <c r="AB82" i="90"/>
  <c r="AA82" i="90"/>
  <c r="Z82" i="90"/>
  <c r="Y82" i="90"/>
  <c r="X82" i="90"/>
  <c r="W82" i="90"/>
  <c r="V82" i="90"/>
  <c r="U82" i="90"/>
  <c r="T82" i="90"/>
  <c r="S82" i="90"/>
  <c r="R82" i="90"/>
  <c r="Q82" i="90"/>
  <c r="P82" i="90"/>
  <c r="O82" i="90"/>
  <c r="AN82" i="90" s="1"/>
  <c r="AO82" i="90" s="1"/>
  <c r="N82" i="90"/>
  <c r="AC81" i="90"/>
  <c r="AB81" i="90"/>
  <c r="AA81" i="90"/>
  <c r="Z81" i="90"/>
  <c r="Y81" i="90"/>
  <c r="X81" i="90"/>
  <c r="W81" i="90"/>
  <c r="V81" i="90"/>
  <c r="U81" i="90"/>
  <c r="T81" i="90"/>
  <c r="S81" i="90"/>
  <c r="R81" i="90"/>
  <c r="Q81" i="90"/>
  <c r="P81" i="90"/>
  <c r="O81" i="90"/>
  <c r="N81" i="90"/>
  <c r="AC80" i="90"/>
  <c r="AB80" i="90"/>
  <c r="AA80" i="90"/>
  <c r="Z80" i="90"/>
  <c r="Y80" i="90"/>
  <c r="X80" i="90"/>
  <c r="W80" i="90"/>
  <c r="V80" i="90"/>
  <c r="U80" i="90"/>
  <c r="T80" i="90"/>
  <c r="S80" i="90"/>
  <c r="R80" i="90"/>
  <c r="Q80" i="90"/>
  <c r="P80" i="90"/>
  <c r="O80" i="90"/>
  <c r="N80" i="90"/>
  <c r="AC79" i="90"/>
  <c r="AB79" i="90"/>
  <c r="AA79" i="90"/>
  <c r="Z79" i="90"/>
  <c r="Y79" i="90"/>
  <c r="X79" i="90"/>
  <c r="W79" i="90"/>
  <c r="V79" i="90"/>
  <c r="U79" i="90"/>
  <c r="T79" i="90"/>
  <c r="S79" i="90"/>
  <c r="R79" i="90"/>
  <c r="Q79" i="90"/>
  <c r="P79" i="90"/>
  <c r="O79" i="90"/>
  <c r="N79" i="90"/>
  <c r="AC78" i="90"/>
  <c r="AB78" i="90"/>
  <c r="AA78" i="90"/>
  <c r="Z78" i="90"/>
  <c r="Y78" i="90"/>
  <c r="X78" i="90"/>
  <c r="W78" i="90"/>
  <c r="V78" i="90"/>
  <c r="U78" i="90"/>
  <c r="T78" i="90"/>
  <c r="S78" i="90"/>
  <c r="R78" i="90"/>
  <c r="Q78" i="90"/>
  <c r="P78" i="90"/>
  <c r="O78" i="90"/>
  <c r="N78" i="90"/>
  <c r="AC77" i="90"/>
  <c r="AB77" i="90"/>
  <c r="AA77" i="90"/>
  <c r="Z77" i="90"/>
  <c r="Y77" i="90"/>
  <c r="X77" i="90"/>
  <c r="W77" i="90"/>
  <c r="V77" i="90"/>
  <c r="U77" i="90"/>
  <c r="T77" i="90"/>
  <c r="S77" i="90"/>
  <c r="R77" i="90"/>
  <c r="Q77" i="90"/>
  <c r="P77" i="90"/>
  <c r="O77" i="90"/>
  <c r="N77" i="90"/>
  <c r="AC76" i="90"/>
  <c r="AB76" i="90"/>
  <c r="AA76" i="90"/>
  <c r="Z76" i="90"/>
  <c r="Y76" i="90"/>
  <c r="X76" i="90"/>
  <c r="W76" i="90"/>
  <c r="V76" i="90"/>
  <c r="AP76" i="90" s="1"/>
  <c r="BE76" i="90" s="1"/>
  <c r="BA76" i="90" s="1"/>
  <c r="U76" i="90"/>
  <c r="T76" i="90"/>
  <c r="S76" i="90"/>
  <c r="R76" i="90"/>
  <c r="Q76" i="90"/>
  <c r="P76" i="90"/>
  <c r="O76" i="90"/>
  <c r="N76" i="90"/>
  <c r="AC75" i="90"/>
  <c r="AB75" i="90"/>
  <c r="AA75" i="90"/>
  <c r="Z75" i="90"/>
  <c r="Y75" i="90"/>
  <c r="X75" i="90"/>
  <c r="W75" i="90"/>
  <c r="V75" i="90"/>
  <c r="U75" i="90"/>
  <c r="T75" i="90"/>
  <c r="S75" i="90"/>
  <c r="R75" i="90"/>
  <c r="Q75" i="90"/>
  <c r="P75" i="90"/>
  <c r="O75" i="90"/>
  <c r="N75" i="90"/>
  <c r="AC74" i="90"/>
  <c r="AB74" i="90"/>
  <c r="AA74" i="90"/>
  <c r="Z74" i="90"/>
  <c r="Y74" i="90"/>
  <c r="X74" i="90"/>
  <c r="W74" i="90"/>
  <c r="V74" i="90"/>
  <c r="U74" i="90"/>
  <c r="T74" i="90"/>
  <c r="S74" i="90"/>
  <c r="R74" i="90"/>
  <c r="Q74" i="90"/>
  <c r="P74" i="90"/>
  <c r="O74" i="90"/>
  <c r="N74" i="90"/>
  <c r="AC73" i="90"/>
  <c r="AB73" i="90"/>
  <c r="AA73" i="90"/>
  <c r="Z73" i="90"/>
  <c r="Y73" i="90"/>
  <c r="X73" i="90"/>
  <c r="W73" i="90"/>
  <c r="V73" i="90"/>
  <c r="U73" i="90"/>
  <c r="T73" i="90"/>
  <c r="S73" i="90"/>
  <c r="R73" i="90"/>
  <c r="Q73" i="90"/>
  <c r="P73" i="90"/>
  <c r="O73" i="90"/>
  <c r="N73" i="90"/>
  <c r="AC72" i="90"/>
  <c r="AB72" i="90"/>
  <c r="AA72" i="90"/>
  <c r="Z72" i="90"/>
  <c r="AP72" i="90" s="1"/>
  <c r="BE72" i="90" s="1"/>
  <c r="BA72" i="90" s="1"/>
  <c r="Y72" i="90"/>
  <c r="X72" i="90"/>
  <c r="W72" i="90"/>
  <c r="V72" i="90"/>
  <c r="U72" i="90"/>
  <c r="T72" i="90"/>
  <c r="S72" i="90"/>
  <c r="R72" i="90"/>
  <c r="Q72" i="90"/>
  <c r="P72" i="90"/>
  <c r="O72" i="90"/>
  <c r="N72" i="90"/>
  <c r="AC71" i="90"/>
  <c r="AB71" i="90"/>
  <c r="AA71" i="90"/>
  <c r="Z71" i="90"/>
  <c r="Y71" i="90"/>
  <c r="X71" i="90"/>
  <c r="W71" i="90"/>
  <c r="V71" i="90"/>
  <c r="U71" i="90"/>
  <c r="T71" i="90"/>
  <c r="S71" i="90"/>
  <c r="R71" i="90"/>
  <c r="Q71" i="90"/>
  <c r="P71" i="90"/>
  <c r="O71" i="90"/>
  <c r="N71" i="90"/>
  <c r="AC70" i="90"/>
  <c r="AB70" i="90"/>
  <c r="AA70" i="90"/>
  <c r="Z70" i="90"/>
  <c r="Y70" i="90"/>
  <c r="X70" i="90"/>
  <c r="W70" i="90"/>
  <c r="V70" i="90"/>
  <c r="U70" i="90"/>
  <c r="T70" i="90"/>
  <c r="S70" i="90"/>
  <c r="R70" i="90"/>
  <c r="Q70" i="90"/>
  <c r="P70" i="90"/>
  <c r="O70" i="90"/>
  <c r="N70" i="90"/>
  <c r="AC69" i="90"/>
  <c r="AB69" i="90"/>
  <c r="AA69" i="90"/>
  <c r="Z69" i="90"/>
  <c r="Y69" i="90"/>
  <c r="X69" i="90"/>
  <c r="W69" i="90"/>
  <c r="V69" i="90"/>
  <c r="U69" i="90"/>
  <c r="T69" i="90"/>
  <c r="S69" i="90"/>
  <c r="R69" i="90"/>
  <c r="Q69" i="90"/>
  <c r="P69" i="90"/>
  <c r="O69" i="90"/>
  <c r="N69" i="90"/>
  <c r="AC68" i="90"/>
  <c r="AB68" i="90"/>
  <c r="AA68" i="90"/>
  <c r="Z68" i="90"/>
  <c r="Y68" i="90"/>
  <c r="X68" i="90"/>
  <c r="W68" i="90"/>
  <c r="V68" i="90"/>
  <c r="U68" i="90"/>
  <c r="T68" i="90"/>
  <c r="S68" i="90"/>
  <c r="R68" i="90"/>
  <c r="Q68" i="90"/>
  <c r="P68" i="90"/>
  <c r="O68" i="90"/>
  <c r="N68" i="90"/>
  <c r="AC67" i="90"/>
  <c r="AB67" i="90"/>
  <c r="AA67" i="90"/>
  <c r="Z67" i="90"/>
  <c r="Y67" i="90"/>
  <c r="X67" i="90"/>
  <c r="W67" i="90"/>
  <c r="V67" i="90"/>
  <c r="U67" i="90"/>
  <c r="T67" i="90"/>
  <c r="S67" i="90"/>
  <c r="R67" i="90"/>
  <c r="Q67" i="90"/>
  <c r="P67" i="90"/>
  <c r="O67" i="90"/>
  <c r="N67" i="90"/>
  <c r="AC66" i="90"/>
  <c r="AB66" i="90"/>
  <c r="AA66" i="90"/>
  <c r="Z66" i="90"/>
  <c r="Y66" i="90"/>
  <c r="X66" i="90"/>
  <c r="W66" i="90"/>
  <c r="V66" i="90"/>
  <c r="U66" i="90"/>
  <c r="T66" i="90"/>
  <c r="S66" i="90"/>
  <c r="R66" i="90"/>
  <c r="Q66" i="90"/>
  <c r="P66" i="90"/>
  <c r="O66" i="90"/>
  <c r="N66" i="90"/>
  <c r="AN66" i="90" s="1"/>
  <c r="AO66" i="90" s="1"/>
  <c r="AC65" i="90"/>
  <c r="AB65" i="90"/>
  <c r="AA65" i="90"/>
  <c r="Z65" i="90"/>
  <c r="Y65" i="90"/>
  <c r="X65" i="90"/>
  <c r="W65" i="90"/>
  <c r="V65" i="90"/>
  <c r="U65" i="90"/>
  <c r="T65" i="90"/>
  <c r="S65" i="90"/>
  <c r="R65" i="90"/>
  <c r="Q65" i="90"/>
  <c r="P65" i="90"/>
  <c r="O65" i="90"/>
  <c r="N65" i="90"/>
  <c r="AC64" i="90"/>
  <c r="AB64" i="90"/>
  <c r="AA64" i="90"/>
  <c r="Z64" i="90"/>
  <c r="Y64" i="90"/>
  <c r="X64" i="90"/>
  <c r="W64" i="90"/>
  <c r="V64" i="90"/>
  <c r="U64" i="90"/>
  <c r="T64" i="90"/>
  <c r="S64" i="90"/>
  <c r="R64" i="90"/>
  <c r="Q64" i="90"/>
  <c r="P64" i="90"/>
  <c r="O64" i="90"/>
  <c r="N64" i="90"/>
  <c r="AC63" i="90"/>
  <c r="AB63" i="90"/>
  <c r="AA63" i="90"/>
  <c r="Z63" i="90"/>
  <c r="Y63" i="90"/>
  <c r="X63" i="90"/>
  <c r="W63" i="90"/>
  <c r="V63" i="90"/>
  <c r="U63" i="90"/>
  <c r="T63" i="90"/>
  <c r="S63" i="90"/>
  <c r="R63" i="90"/>
  <c r="Q63" i="90"/>
  <c r="P63" i="90"/>
  <c r="O63" i="90"/>
  <c r="N63" i="90"/>
  <c r="AC62" i="90"/>
  <c r="AB62" i="90"/>
  <c r="AA62" i="90"/>
  <c r="Z62" i="90"/>
  <c r="Y62" i="90"/>
  <c r="X62" i="90"/>
  <c r="W62" i="90"/>
  <c r="V62" i="90"/>
  <c r="U62" i="90"/>
  <c r="T62" i="90"/>
  <c r="S62" i="90"/>
  <c r="R62" i="90"/>
  <c r="Q62" i="90"/>
  <c r="P62" i="90"/>
  <c r="O62" i="90"/>
  <c r="N62" i="90"/>
  <c r="AC61" i="90"/>
  <c r="AB61" i="90"/>
  <c r="AA61" i="90"/>
  <c r="Z61" i="90"/>
  <c r="Y61" i="90"/>
  <c r="X61" i="90"/>
  <c r="W61" i="90"/>
  <c r="V61" i="90"/>
  <c r="AP61" i="90" s="1"/>
  <c r="BE61" i="90" s="1"/>
  <c r="BA61" i="90" s="1"/>
  <c r="U61" i="90"/>
  <c r="T61" i="90"/>
  <c r="S61" i="90"/>
  <c r="R61" i="90"/>
  <c r="Q61" i="90"/>
  <c r="P61" i="90"/>
  <c r="O61" i="90"/>
  <c r="N61" i="90"/>
  <c r="AC60" i="90"/>
  <c r="AB60" i="90"/>
  <c r="AA60" i="90"/>
  <c r="Z60" i="90"/>
  <c r="AP60" i="90" s="1"/>
  <c r="BE60" i="90" s="1"/>
  <c r="BA60" i="90" s="1"/>
  <c r="Y60" i="90"/>
  <c r="X60" i="90"/>
  <c r="W60" i="90"/>
  <c r="V60" i="90"/>
  <c r="U60" i="90"/>
  <c r="T60" i="90"/>
  <c r="S60" i="90"/>
  <c r="R60" i="90"/>
  <c r="Q60" i="90"/>
  <c r="P60" i="90"/>
  <c r="O60" i="90"/>
  <c r="N60" i="90"/>
  <c r="AC59" i="90"/>
  <c r="AB59" i="90"/>
  <c r="AA59" i="90"/>
  <c r="Z59" i="90"/>
  <c r="Y59" i="90"/>
  <c r="X59" i="90"/>
  <c r="W59" i="90"/>
  <c r="V59" i="90"/>
  <c r="U59" i="90"/>
  <c r="T59" i="90"/>
  <c r="S59" i="90"/>
  <c r="R59" i="90"/>
  <c r="Q59" i="90"/>
  <c r="P59" i="90"/>
  <c r="O59" i="90"/>
  <c r="N59" i="90"/>
  <c r="AC58" i="90"/>
  <c r="AB58" i="90"/>
  <c r="AA58" i="90"/>
  <c r="Z58" i="90"/>
  <c r="Y58" i="90"/>
  <c r="X58" i="90"/>
  <c r="W58" i="90"/>
  <c r="V58" i="90"/>
  <c r="U58" i="90"/>
  <c r="T58" i="90"/>
  <c r="S58" i="90"/>
  <c r="R58" i="90"/>
  <c r="Q58" i="90"/>
  <c r="P58" i="90"/>
  <c r="O58" i="90"/>
  <c r="N58" i="90"/>
  <c r="AC57" i="90"/>
  <c r="AB57" i="90"/>
  <c r="AA57" i="90"/>
  <c r="Z57" i="90"/>
  <c r="Y57" i="90"/>
  <c r="X57" i="90"/>
  <c r="W57" i="90"/>
  <c r="V57" i="90"/>
  <c r="U57" i="90"/>
  <c r="T57" i="90"/>
  <c r="S57" i="90"/>
  <c r="R57" i="90"/>
  <c r="Q57" i="90"/>
  <c r="P57" i="90"/>
  <c r="O57" i="90"/>
  <c r="N57" i="90"/>
  <c r="AN57" i="90" s="1"/>
  <c r="AO57" i="90" s="1"/>
  <c r="AC56" i="90"/>
  <c r="AB56" i="90"/>
  <c r="AA56" i="90"/>
  <c r="Z56" i="90"/>
  <c r="Y56" i="90"/>
  <c r="X56" i="90"/>
  <c r="W56" i="90"/>
  <c r="V56" i="90"/>
  <c r="U56" i="90"/>
  <c r="T56" i="90"/>
  <c r="S56" i="90"/>
  <c r="R56" i="90"/>
  <c r="Q56" i="90"/>
  <c r="P56" i="90"/>
  <c r="O56" i="90"/>
  <c r="N56" i="90"/>
  <c r="AC55" i="90"/>
  <c r="AB55" i="90"/>
  <c r="AA55" i="90"/>
  <c r="Z55" i="90"/>
  <c r="Y55" i="90"/>
  <c r="X55" i="90"/>
  <c r="W55" i="90"/>
  <c r="V55" i="90"/>
  <c r="U55" i="90"/>
  <c r="T55" i="90"/>
  <c r="S55" i="90"/>
  <c r="R55" i="90"/>
  <c r="Q55" i="90"/>
  <c r="P55" i="90"/>
  <c r="O55" i="90"/>
  <c r="N55" i="90"/>
  <c r="AC54" i="90"/>
  <c r="AB54" i="90"/>
  <c r="AA54" i="90"/>
  <c r="Z54" i="90"/>
  <c r="Y54" i="90"/>
  <c r="X54" i="90"/>
  <c r="W54" i="90"/>
  <c r="V54" i="90"/>
  <c r="U54" i="90"/>
  <c r="T54" i="90"/>
  <c r="S54" i="90"/>
  <c r="R54" i="90"/>
  <c r="Q54" i="90"/>
  <c r="P54" i="90"/>
  <c r="O54" i="90"/>
  <c r="N54" i="90"/>
  <c r="AN54" i="90" s="1"/>
  <c r="AO54" i="90" s="1"/>
  <c r="AC53" i="90"/>
  <c r="AB53" i="90"/>
  <c r="AA53" i="90"/>
  <c r="Z53" i="90"/>
  <c r="Y53" i="90"/>
  <c r="X53" i="90"/>
  <c r="W53" i="90"/>
  <c r="V53" i="90"/>
  <c r="U53" i="90"/>
  <c r="T53" i="90"/>
  <c r="S53" i="90"/>
  <c r="R53" i="90"/>
  <c r="Q53" i="90"/>
  <c r="P53" i="90"/>
  <c r="O53" i="90"/>
  <c r="N53" i="90"/>
  <c r="AC52" i="90"/>
  <c r="AB52" i="90"/>
  <c r="AA52" i="90"/>
  <c r="Z52" i="90"/>
  <c r="Y52" i="90"/>
  <c r="X52" i="90"/>
  <c r="W52" i="90"/>
  <c r="V52" i="90"/>
  <c r="U52" i="90"/>
  <c r="T52" i="90"/>
  <c r="S52" i="90"/>
  <c r="R52" i="90"/>
  <c r="Q52" i="90"/>
  <c r="P52" i="90"/>
  <c r="O52" i="90"/>
  <c r="N52" i="90"/>
  <c r="AC51" i="90"/>
  <c r="AB51" i="90"/>
  <c r="AA51" i="90"/>
  <c r="Z51" i="90"/>
  <c r="Y51" i="90"/>
  <c r="X51" i="90"/>
  <c r="W51" i="90"/>
  <c r="V51" i="90"/>
  <c r="U51" i="90"/>
  <c r="T51" i="90"/>
  <c r="S51" i="90"/>
  <c r="R51" i="90"/>
  <c r="Q51" i="90"/>
  <c r="P51" i="90"/>
  <c r="O51" i="90"/>
  <c r="N51" i="90"/>
  <c r="AC50" i="90"/>
  <c r="AB50" i="90"/>
  <c r="AA50" i="90"/>
  <c r="Z50" i="90"/>
  <c r="Y50" i="90"/>
  <c r="X50" i="90"/>
  <c r="W50" i="90"/>
  <c r="V50" i="90"/>
  <c r="U50" i="90"/>
  <c r="T50" i="90"/>
  <c r="S50" i="90"/>
  <c r="R50" i="90"/>
  <c r="Q50" i="90"/>
  <c r="P50" i="90"/>
  <c r="O50" i="90"/>
  <c r="N50" i="90"/>
  <c r="AC49" i="90"/>
  <c r="AB49" i="90"/>
  <c r="AA49" i="90"/>
  <c r="Z49" i="90"/>
  <c r="Y49" i="90"/>
  <c r="X49" i="90"/>
  <c r="W49" i="90"/>
  <c r="V49" i="90"/>
  <c r="AP49" i="90" s="1"/>
  <c r="BE49" i="90" s="1"/>
  <c r="BA49" i="90" s="1"/>
  <c r="U49" i="90"/>
  <c r="T49" i="90"/>
  <c r="S49" i="90"/>
  <c r="R49" i="90"/>
  <c r="Q49" i="90"/>
  <c r="P49" i="90"/>
  <c r="O49" i="90"/>
  <c r="N49" i="90"/>
  <c r="AC48" i="90"/>
  <c r="AB48" i="90"/>
  <c r="AA48" i="90"/>
  <c r="Z48" i="90"/>
  <c r="Y48" i="90"/>
  <c r="X48" i="90"/>
  <c r="W48" i="90"/>
  <c r="V48" i="90"/>
  <c r="U48" i="90"/>
  <c r="T48" i="90"/>
  <c r="S48" i="90"/>
  <c r="R48" i="90"/>
  <c r="Q48" i="90"/>
  <c r="P48" i="90"/>
  <c r="O48" i="90"/>
  <c r="N48" i="90"/>
  <c r="AC47" i="90"/>
  <c r="AB47" i="90"/>
  <c r="AA47" i="90"/>
  <c r="Z47" i="90"/>
  <c r="Y47" i="90"/>
  <c r="X47" i="90"/>
  <c r="W47" i="90"/>
  <c r="V47" i="90"/>
  <c r="U47" i="90"/>
  <c r="T47" i="90"/>
  <c r="S47" i="90"/>
  <c r="R47" i="90"/>
  <c r="Q47" i="90"/>
  <c r="P47" i="90"/>
  <c r="O47" i="90"/>
  <c r="N47" i="90"/>
  <c r="AC46" i="90"/>
  <c r="AB46" i="90"/>
  <c r="AA46" i="90"/>
  <c r="Z46" i="90"/>
  <c r="Y46" i="90"/>
  <c r="X46" i="90"/>
  <c r="W46" i="90"/>
  <c r="V46" i="90"/>
  <c r="U46" i="90"/>
  <c r="T46" i="90"/>
  <c r="S46" i="90"/>
  <c r="R46" i="90"/>
  <c r="Q46" i="90"/>
  <c r="P46" i="90"/>
  <c r="O46" i="90"/>
  <c r="N46" i="90"/>
  <c r="AC45" i="90"/>
  <c r="AB45" i="90"/>
  <c r="AA45" i="90"/>
  <c r="Z45" i="90"/>
  <c r="Y45" i="90"/>
  <c r="X45" i="90"/>
  <c r="W45" i="90"/>
  <c r="V45" i="90"/>
  <c r="U45" i="90"/>
  <c r="T45" i="90"/>
  <c r="S45" i="90"/>
  <c r="R45" i="90"/>
  <c r="Q45" i="90"/>
  <c r="P45" i="90"/>
  <c r="O45" i="90"/>
  <c r="N45" i="90"/>
  <c r="AN45" i="90" s="1"/>
  <c r="AO45" i="90" s="1"/>
  <c r="AC44" i="90"/>
  <c r="AB44" i="90"/>
  <c r="AA44" i="90"/>
  <c r="Z44" i="90"/>
  <c r="Y44" i="90"/>
  <c r="X44" i="90"/>
  <c r="W44" i="90"/>
  <c r="V44" i="90"/>
  <c r="U44" i="90"/>
  <c r="T44" i="90"/>
  <c r="S44" i="90"/>
  <c r="R44" i="90"/>
  <c r="Q44" i="90"/>
  <c r="P44" i="90"/>
  <c r="O44" i="90"/>
  <c r="N44" i="90"/>
  <c r="AC43" i="90"/>
  <c r="AB43" i="90"/>
  <c r="AA43" i="90"/>
  <c r="Z43" i="90"/>
  <c r="Y43" i="90"/>
  <c r="X43" i="90"/>
  <c r="W43" i="90"/>
  <c r="V43" i="90"/>
  <c r="U43" i="90"/>
  <c r="T43" i="90"/>
  <c r="S43" i="90"/>
  <c r="R43" i="90"/>
  <c r="Q43" i="90"/>
  <c r="P43" i="90"/>
  <c r="O43" i="90"/>
  <c r="N43" i="90"/>
  <c r="AC42" i="90"/>
  <c r="AB42" i="90"/>
  <c r="AA42" i="90"/>
  <c r="Z42" i="90"/>
  <c r="Y42" i="90"/>
  <c r="X42" i="90"/>
  <c r="W42" i="90"/>
  <c r="V42" i="90"/>
  <c r="U42" i="90"/>
  <c r="T42" i="90"/>
  <c r="S42" i="90"/>
  <c r="R42" i="90"/>
  <c r="Q42" i="90"/>
  <c r="P42" i="90"/>
  <c r="O42" i="90"/>
  <c r="N42" i="90"/>
  <c r="AN42" i="90" s="1"/>
  <c r="AO42" i="90" s="1"/>
  <c r="AC41" i="90"/>
  <c r="AB41" i="90"/>
  <c r="AA41" i="90"/>
  <c r="Z41" i="90"/>
  <c r="Y41" i="90"/>
  <c r="X41" i="90"/>
  <c r="W41" i="90"/>
  <c r="V41" i="90"/>
  <c r="U41" i="90"/>
  <c r="T41" i="90"/>
  <c r="S41" i="90"/>
  <c r="R41" i="90"/>
  <c r="Q41" i="90"/>
  <c r="P41" i="90"/>
  <c r="O41" i="90"/>
  <c r="N41" i="90"/>
  <c r="AC40" i="90"/>
  <c r="AB40" i="90"/>
  <c r="AA40" i="90"/>
  <c r="Z40" i="90"/>
  <c r="Y40" i="90"/>
  <c r="X40" i="90"/>
  <c r="W40" i="90"/>
  <c r="V40" i="90"/>
  <c r="U40" i="90"/>
  <c r="T40" i="90"/>
  <c r="S40" i="90"/>
  <c r="R40" i="90"/>
  <c r="Q40" i="90"/>
  <c r="P40" i="90"/>
  <c r="O40" i="90"/>
  <c r="N40" i="90"/>
  <c r="AC39" i="90"/>
  <c r="AB39" i="90"/>
  <c r="AA39" i="90"/>
  <c r="Z39" i="90"/>
  <c r="Y39" i="90"/>
  <c r="X39" i="90"/>
  <c r="W39" i="90"/>
  <c r="V39" i="90"/>
  <c r="U39" i="90"/>
  <c r="T39" i="90"/>
  <c r="S39" i="90"/>
  <c r="R39" i="90"/>
  <c r="Q39" i="90"/>
  <c r="P39" i="90"/>
  <c r="O39" i="90"/>
  <c r="N39" i="90"/>
  <c r="AC38" i="90"/>
  <c r="AB38" i="90"/>
  <c r="AA38" i="90"/>
  <c r="Z38" i="90"/>
  <c r="Y38" i="90"/>
  <c r="X38" i="90"/>
  <c r="W38" i="90"/>
  <c r="V38" i="90"/>
  <c r="U38" i="90"/>
  <c r="T38" i="90"/>
  <c r="S38" i="90"/>
  <c r="R38" i="90"/>
  <c r="Q38" i="90"/>
  <c r="P38" i="90"/>
  <c r="O38" i="90"/>
  <c r="N38" i="90"/>
  <c r="AC37" i="90"/>
  <c r="AB37" i="90"/>
  <c r="AA37" i="90"/>
  <c r="Z37" i="90"/>
  <c r="Y37" i="90"/>
  <c r="X37" i="90"/>
  <c r="W37" i="90"/>
  <c r="V37" i="90"/>
  <c r="U37" i="90"/>
  <c r="T37" i="90"/>
  <c r="S37" i="90"/>
  <c r="R37" i="90"/>
  <c r="Q37" i="90"/>
  <c r="P37" i="90"/>
  <c r="O37" i="90"/>
  <c r="N37" i="90"/>
  <c r="AC36" i="90"/>
  <c r="AB36" i="90"/>
  <c r="AA36" i="90"/>
  <c r="Z36" i="90"/>
  <c r="Y36" i="90"/>
  <c r="X36" i="90"/>
  <c r="W36" i="90"/>
  <c r="V36" i="90"/>
  <c r="U36" i="90"/>
  <c r="T36" i="90"/>
  <c r="S36" i="90"/>
  <c r="R36" i="90"/>
  <c r="Q36" i="90"/>
  <c r="P36" i="90"/>
  <c r="O36" i="90"/>
  <c r="N36" i="90"/>
  <c r="AC35" i="90"/>
  <c r="AB35" i="90"/>
  <c r="AA35" i="90"/>
  <c r="Z35" i="90"/>
  <c r="Y35" i="90"/>
  <c r="X35" i="90"/>
  <c r="W35" i="90"/>
  <c r="V35" i="90"/>
  <c r="U35" i="90"/>
  <c r="T35" i="90"/>
  <c r="S35" i="90"/>
  <c r="R35" i="90"/>
  <c r="Q35" i="90"/>
  <c r="P35" i="90"/>
  <c r="O35" i="90"/>
  <c r="N35" i="90"/>
  <c r="AC34" i="90"/>
  <c r="AB34" i="90"/>
  <c r="AA34" i="90"/>
  <c r="Z34" i="90"/>
  <c r="Y34" i="90"/>
  <c r="X34" i="90"/>
  <c r="W34" i="90"/>
  <c r="V34" i="90"/>
  <c r="U34" i="90"/>
  <c r="T34" i="90"/>
  <c r="S34" i="90"/>
  <c r="R34" i="90"/>
  <c r="Q34" i="90"/>
  <c r="P34" i="90"/>
  <c r="O34" i="90"/>
  <c r="N34" i="90"/>
  <c r="AC33" i="90"/>
  <c r="AB33" i="90"/>
  <c r="AA33" i="90"/>
  <c r="Z33" i="90"/>
  <c r="Y33" i="90"/>
  <c r="X33" i="90"/>
  <c r="W33" i="90"/>
  <c r="V33" i="90"/>
  <c r="U33" i="90"/>
  <c r="T33" i="90"/>
  <c r="S33" i="90"/>
  <c r="R33" i="90"/>
  <c r="Q33" i="90"/>
  <c r="P33" i="90"/>
  <c r="O33" i="90"/>
  <c r="N33" i="90"/>
  <c r="AN33" i="90" s="1"/>
  <c r="AO33" i="90" s="1"/>
  <c r="AC32" i="90"/>
  <c r="AB32" i="90"/>
  <c r="AA32" i="90"/>
  <c r="Z32" i="90"/>
  <c r="Y32" i="90"/>
  <c r="X32" i="90"/>
  <c r="W32" i="90"/>
  <c r="V32" i="90"/>
  <c r="U32" i="90"/>
  <c r="T32" i="90"/>
  <c r="S32" i="90"/>
  <c r="R32" i="90"/>
  <c r="Q32" i="90"/>
  <c r="P32" i="90"/>
  <c r="O32" i="90"/>
  <c r="N32" i="90"/>
  <c r="AC31" i="90"/>
  <c r="AB31" i="90"/>
  <c r="AA31" i="90"/>
  <c r="Z31" i="90"/>
  <c r="Y31" i="90"/>
  <c r="X31" i="90"/>
  <c r="W31" i="90"/>
  <c r="V31" i="90"/>
  <c r="U31" i="90"/>
  <c r="T31" i="90"/>
  <c r="S31" i="90"/>
  <c r="R31" i="90"/>
  <c r="Q31" i="90"/>
  <c r="P31" i="90"/>
  <c r="O31" i="90"/>
  <c r="N31" i="90"/>
  <c r="AC30" i="90"/>
  <c r="AB30" i="90"/>
  <c r="AA30" i="90"/>
  <c r="Z30" i="90"/>
  <c r="Y30" i="90"/>
  <c r="X30" i="90"/>
  <c r="W30" i="90"/>
  <c r="V30" i="90"/>
  <c r="U30" i="90"/>
  <c r="T30" i="90"/>
  <c r="S30" i="90"/>
  <c r="R30" i="90"/>
  <c r="Q30" i="90"/>
  <c r="P30" i="90"/>
  <c r="O30" i="90"/>
  <c r="N30" i="90"/>
  <c r="AN30" i="90" s="1"/>
  <c r="AO30" i="90" s="1"/>
  <c r="AC29" i="90"/>
  <c r="AB29" i="90"/>
  <c r="AA29" i="90"/>
  <c r="Z29" i="90"/>
  <c r="Y29" i="90"/>
  <c r="X29" i="90"/>
  <c r="W29" i="90"/>
  <c r="V29" i="90"/>
  <c r="U29" i="90"/>
  <c r="T29" i="90"/>
  <c r="S29" i="90"/>
  <c r="R29" i="90"/>
  <c r="Q29" i="90"/>
  <c r="P29" i="90"/>
  <c r="O29" i="90"/>
  <c r="N29" i="90"/>
  <c r="AC28" i="90"/>
  <c r="AB28" i="90"/>
  <c r="AA28" i="90"/>
  <c r="Z28" i="90"/>
  <c r="Y28" i="90"/>
  <c r="X28" i="90"/>
  <c r="W28" i="90"/>
  <c r="V28" i="90"/>
  <c r="U28" i="90"/>
  <c r="T28" i="90"/>
  <c r="S28" i="90"/>
  <c r="R28" i="90"/>
  <c r="Q28" i="90"/>
  <c r="P28" i="90"/>
  <c r="O28" i="90"/>
  <c r="N28" i="90"/>
  <c r="AC27" i="90"/>
  <c r="AB27" i="90"/>
  <c r="AA27" i="90"/>
  <c r="Z27" i="90"/>
  <c r="Y27" i="90"/>
  <c r="X27" i="90"/>
  <c r="W27" i="90"/>
  <c r="V27" i="90"/>
  <c r="U27" i="90"/>
  <c r="T27" i="90"/>
  <c r="S27" i="90"/>
  <c r="R27" i="90"/>
  <c r="Q27" i="90"/>
  <c r="P27" i="90"/>
  <c r="O27" i="90"/>
  <c r="N27" i="90"/>
  <c r="AC26" i="90"/>
  <c r="AB26" i="90"/>
  <c r="AA26" i="90"/>
  <c r="Z26" i="90"/>
  <c r="Y26" i="90"/>
  <c r="X26" i="90"/>
  <c r="W26" i="90"/>
  <c r="V26" i="90"/>
  <c r="U26" i="90"/>
  <c r="T26" i="90"/>
  <c r="S26" i="90"/>
  <c r="R26" i="90"/>
  <c r="Q26" i="90"/>
  <c r="P26" i="90"/>
  <c r="O26" i="90"/>
  <c r="N26" i="90"/>
  <c r="AC25" i="90"/>
  <c r="AB25" i="90"/>
  <c r="AA25" i="90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AC24" i="90"/>
  <c r="AB24" i="90"/>
  <c r="AA24" i="90"/>
  <c r="Z24" i="90"/>
  <c r="Y24" i="90"/>
  <c r="X24" i="90"/>
  <c r="W24" i="90"/>
  <c r="V24" i="90"/>
  <c r="U24" i="90"/>
  <c r="T24" i="90"/>
  <c r="S24" i="90"/>
  <c r="R24" i="90"/>
  <c r="Q24" i="90"/>
  <c r="P24" i="90"/>
  <c r="O24" i="90"/>
  <c r="N24" i="90"/>
  <c r="AC23" i="90"/>
  <c r="AB23" i="90"/>
  <c r="AA23" i="90"/>
  <c r="Z23" i="90"/>
  <c r="Y23" i="90"/>
  <c r="X23" i="90"/>
  <c r="W23" i="90"/>
  <c r="V23" i="90"/>
  <c r="U23" i="90"/>
  <c r="T23" i="90"/>
  <c r="S23" i="90"/>
  <c r="R23" i="90"/>
  <c r="Q23" i="90"/>
  <c r="P23" i="90"/>
  <c r="O23" i="90"/>
  <c r="N23" i="90"/>
  <c r="AC22" i="90"/>
  <c r="AB22" i="90"/>
  <c r="AA22" i="90"/>
  <c r="Z22" i="90"/>
  <c r="Y22" i="90"/>
  <c r="X22" i="90"/>
  <c r="W22" i="90"/>
  <c r="V22" i="90"/>
  <c r="U22" i="90"/>
  <c r="T22" i="90"/>
  <c r="S22" i="90"/>
  <c r="R22" i="90"/>
  <c r="Q22" i="90"/>
  <c r="P22" i="90"/>
  <c r="O22" i="90"/>
  <c r="N22" i="90"/>
  <c r="AC21" i="90"/>
  <c r="AB21" i="90"/>
  <c r="AA21" i="90"/>
  <c r="Z21" i="90"/>
  <c r="Y21" i="90"/>
  <c r="X21" i="90"/>
  <c r="W21" i="90"/>
  <c r="V21" i="90"/>
  <c r="U21" i="90"/>
  <c r="T21" i="90"/>
  <c r="S21" i="90"/>
  <c r="R21" i="90"/>
  <c r="Q21" i="90"/>
  <c r="P21" i="90"/>
  <c r="O21" i="90"/>
  <c r="N21" i="90"/>
  <c r="AN21" i="90" s="1"/>
  <c r="AO21" i="90" s="1"/>
  <c r="AC20" i="90"/>
  <c r="AB20" i="90"/>
  <c r="AA20" i="90"/>
  <c r="Z20" i="90"/>
  <c r="Y20" i="90"/>
  <c r="X20" i="90"/>
  <c r="W20" i="90"/>
  <c r="V20" i="90"/>
  <c r="U20" i="90"/>
  <c r="T20" i="90"/>
  <c r="S20" i="90"/>
  <c r="R20" i="90"/>
  <c r="Q20" i="90"/>
  <c r="P20" i="90"/>
  <c r="O20" i="90"/>
  <c r="N20" i="90"/>
  <c r="AC19" i="90"/>
  <c r="AB19" i="90"/>
  <c r="AA19" i="90"/>
  <c r="Z19" i="90"/>
  <c r="Y19" i="90"/>
  <c r="X19" i="90"/>
  <c r="W19" i="90"/>
  <c r="V19" i="90"/>
  <c r="U19" i="90"/>
  <c r="T19" i="90"/>
  <c r="S19" i="90"/>
  <c r="R19" i="90"/>
  <c r="Q19" i="90"/>
  <c r="P19" i="90"/>
  <c r="O19" i="90"/>
  <c r="N19" i="90"/>
  <c r="AC18" i="90"/>
  <c r="AB18" i="90"/>
  <c r="AA18" i="90"/>
  <c r="Z18" i="90"/>
  <c r="Y18" i="90"/>
  <c r="X18" i="90"/>
  <c r="W18" i="90"/>
  <c r="V18" i="90"/>
  <c r="U18" i="90"/>
  <c r="T18" i="90"/>
  <c r="S18" i="90"/>
  <c r="R18" i="90"/>
  <c r="Q18" i="90"/>
  <c r="P18" i="90"/>
  <c r="O18" i="90"/>
  <c r="N18" i="90"/>
  <c r="AN18" i="90" s="1"/>
  <c r="AO18" i="90" s="1"/>
  <c r="AC17" i="90"/>
  <c r="AB17" i="90"/>
  <c r="AA17" i="90"/>
  <c r="Z17" i="90"/>
  <c r="Y17" i="90"/>
  <c r="X17" i="90"/>
  <c r="W17" i="90"/>
  <c r="V17" i="90"/>
  <c r="U17" i="90"/>
  <c r="T17" i="90"/>
  <c r="S17" i="90"/>
  <c r="R17" i="90"/>
  <c r="Q17" i="90"/>
  <c r="P17" i="90"/>
  <c r="O17" i="90"/>
  <c r="N17" i="90"/>
  <c r="AC16" i="90"/>
  <c r="AB16" i="90"/>
  <c r="AA16" i="90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AC15" i="90"/>
  <c r="AB15" i="90"/>
  <c r="AA15" i="90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AC14" i="90"/>
  <c r="AB14" i="90"/>
  <c r="AA14" i="90"/>
  <c r="Z14" i="90"/>
  <c r="Y14" i="90"/>
  <c r="X14" i="90"/>
  <c r="W14" i="90"/>
  <c r="V14" i="90"/>
  <c r="U14" i="90"/>
  <c r="T14" i="90"/>
  <c r="S14" i="90"/>
  <c r="R14" i="90"/>
  <c r="Q14" i="90"/>
  <c r="P14" i="90"/>
  <c r="O14" i="90"/>
  <c r="N14" i="90"/>
  <c r="AC13" i="90"/>
  <c r="AB13" i="90"/>
  <c r="AA13" i="90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AC12" i="90"/>
  <c r="AB12" i="90"/>
  <c r="AA12" i="90"/>
  <c r="Z12" i="90"/>
  <c r="Y12" i="90"/>
  <c r="X12" i="90"/>
  <c r="W12" i="90"/>
  <c r="V12" i="90"/>
  <c r="U12" i="90"/>
  <c r="T12" i="90"/>
  <c r="S12" i="90"/>
  <c r="R12" i="90"/>
  <c r="Q12" i="90"/>
  <c r="P12" i="90"/>
  <c r="O12" i="90"/>
  <c r="AN12" i="90" s="1"/>
  <c r="AO12" i="90" s="1"/>
  <c r="N12" i="90"/>
  <c r="C102" i="90"/>
  <c r="C115" i="90"/>
  <c r="A14" i="90"/>
  <c r="C14" i="90" s="1"/>
  <c r="A15" i="90"/>
  <c r="C15" i="90" s="1"/>
  <c r="A16" i="90"/>
  <c r="C16" i="90" s="1"/>
  <c r="A17" i="90"/>
  <c r="C17" i="90" s="1"/>
  <c r="A18" i="90"/>
  <c r="C18" i="90" s="1"/>
  <c r="A19" i="90"/>
  <c r="C19" i="90" s="1"/>
  <c r="A20" i="90"/>
  <c r="C20" i="90" s="1"/>
  <c r="A21" i="90"/>
  <c r="C21" i="90" s="1"/>
  <c r="A22" i="90"/>
  <c r="C22" i="90" s="1"/>
  <c r="A23" i="90"/>
  <c r="C23" i="90" s="1"/>
  <c r="A24" i="90"/>
  <c r="C24" i="90" s="1"/>
  <c r="A25" i="90"/>
  <c r="C25" i="90" s="1"/>
  <c r="A26" i="90"/>
  <c r="C26" i="90" s="1"/>
  <c r="A27" i="90"/>
  <c r="C27" i="90" s="1"/>
  <c r="A28" i="90"/>
  <c r="C28" i="90" s="1"/>
  <c r="A29" i="90"/>
  <c r="C29" i="90" s="1"/>
  <c r="A30" i="90"/>
  <c r="C30" i="90" s="1"/>
  <c r="A31" i="90"/>
  <c r="C31" i="90" s="1"/>
  <c r="A32" i="90"/>
  <c r="C32" i="90" s="1"/>
  <c r="A33" i="90"/>
  <c r="C33" i="90" s="1"/>
  <c r="A34" i="90"/>
  <c r="C34" i="90" s="1"/>
  <c r="A35" i="90"/>
  <c r="C35" i="90" s="1"/>
  <c r="A36" i="90"/>
  <c r="C36" i="90" s="1"/>
  <c r="A37" i="90"/>
  <c r="C37" i="90" s="1"/>
  <c r="A38" i="90"/>
  <c r="C38" i="90" s="1"/>
  <c r="A39" i="90"/>
  <c r="C39" i="90" s="1"/>
  <c r="A40" i="90"/>
  <c r="C40" i="90" s="1"/>
  <c r="A41" i="90"/>
  <c r="C41" i="90" s="1"/>
  <c r="A42" i="90"/>
  <c r="C42" i="90" s="1"/>
  <c r="A43" i="90"/>
  <c r="C43" i="90" s="1"/>
  <c r="A44" i="90"/>
  <c r="C44" i="90" s="1"/>
  <c r="A45" i="90"/>
  <c r="C45" i="90" s="1"/>
  <c r="A46" i="90"/>
  <c r="C46" i="90" s="1"/>
  <c r="A47" i="90"/>
  <c r="C47" i="90" s="1"/>
  <c r="A48" i="90"/>
  <c r="C48" i="90" s="1"/>
  <c r="A49" i="90"/>
  <c r="C49" i="90" s="1"/>
  <c r="A50" i="90"/>
  <c r="C50" i="90" s="1"/>
  <c r="A51" i="90"/>
  <c r="C51" i="90" s="1"/>
  <c r="A52" i="90"/>
  <c r="C52" i="90" s="1"/>
  <c r="A53" i="90"/>
  <c r="C53" i="90" s="1"/>
  <c r="A54" i="90"/>
  <c r="C54" i="90" s="1"/>
  <c r="A55" i="90"/>
  <c r="C55" i="90" s="1"/>
  <c r="A56" i="90"/>
  <c r="C56" i="90" s="1"/>
  <c r="A57" i="90"/>
  <c r="C57" i="90" s="1"/>
  <c r="A58" i="90"/>
  <c r="C58" i="90" s="1"/>
  <c r="A59" i="90"/>
  <c r="C59" i="90" s="1"/>
  <c r="A60" i="90"/>
  <c r="C60" i="90" s="1"/>
  <c r="A61" i="90"/>
  <c r="C61" i="90" s="1"/>
  <c r="A62" i="90"/>
  <c r="C62" i="90" s="1"/>
  <c r="A63" i="90"/>
  <c r="C63" i="90" s="1"/>
  <c r="A64" i="90"/>
  <c r="C64" i="90" s="1"/>
  <c r="A65" i="90"/>
  <c r="C65" i="90" s="1"/>
  <c r="A66" i="90"/>
  <c r="C66" i="90" s="1"/>
  <c r="A67" i="90"/>
  <c r="C67" i="90" s="1"/>
  <c r="A68" i="90"/>
  <c r="C68" i="90" s="1"/>
  <c r="A69" i="90"/>
  <c r="C69" i="90" s="1"/>
  <c r="A70" i="90"/>
  <c r="C70" i="90" s="1"/>
  <c r="A71" i="90"/>
  <c r="C71" i="90" s="1"/>
  <c r="A72" i="90"/>
  <c r="C72" i="90" s="1"/>
  <c r="A73" i="90"/>
  <c r="C73" i="90" s="1"/>
  <c r="A74" i="90"/>
  <c r="C74" i="90" s="1"/>
  <c r="A75" i="90"/>
  <c r="C75" i="90" s="1"/>
  <c r="A76" i="90"/>
  <c r="C76" i="90" s="1"/>
  <c r="A77" i="90"/>
  <c r="C77" i="90" s="1"/>
  <c r="A78" i="90"/>
  <c r="C78" i="90" s="1"/>
  <c r="A79" i="90"/>
  <c r="C79" i="90" s="1"/>
  <c r="A80" i="90"/>
  <c r="C80" i="90" s="1"/>
  <c r="A81" i="90"/>
  <c r="C81" i="90" s="1"/>
  <c r="A82" i="90"/>
  <c r="C82" i="90" s="1"/>
  <c r="A83" i="90"/>
  <c r="C83" i="90" s="1"/>
  <c r="A84" i="90"/>
  <c r="C84" i="90" s="1"/>
  <c r="A85" i="90"/>
  <c r="C85" i="90" s="1"/>
  <c r="A86" i="90"/>
  <c r="C86" i="90" s="1"/>
  <c r="A87" i="90"/>
  <c r="C87" i="90" s="1"/>
  <c r="A88" i="90"/>
  <c r="C88" i="90" s="1"/>
  <c r="A89" i="90"/>
  <c r="C89" i="90" s="1"/>
  <c r="A90" i="90"/>
  <c r="C90" i="90" s="1"/>
  <c r="A91" i="90"/>
  <c r="C91" i="90" s="1"/>
  <c r="A92" i="90"/>
  <c r="C92" i="90" s="1"/>
  <c r="A93" i="90"/>
  <c r="C93" i="90" s="1"/>
  <c r="A94" i="90"/>
  <c r="C94" i="90" s="1"/>
  <c r="A95" i="90"/>
  <c r="C95" i="90" s="1"/>
  <c r="A96" i="90"/>
  <c r="C96" i="90" s="1"/>
  <c r="A97" i="90"/>
  <c r="C97" i="90" s="1"/>
  <c r="A98" i="90"/>
  <c r="C98" i="90" s="1"/>
  <c r="A99" i="90"/>
  <c r="C99" i="90" s="1"/>
  <c r="A100" i="90"/>
  <c r="C100" i="90" s="1"/>
  <c r="A101" i="90"/>
  <c r="C101" i="90" s="1"/>
  <c r="A102" i="90"/>
  <c r="A103" i="90"/>
  <c r="C103" i="90" s="1"/>
  <c r="A104" i="90"/>
  <c r="C104" i="90" s="1"/>
  <c r="A105" i="90"/>
  <c r="C105" i="90" s="1"/>
  <c r="A106" i="90"/>
  <c r="C106" i="90" s="1"/>
  <c r="A107" i="90"/>
  <c r="C107" i="90" s="1"/>
  <c r="A108" i="90"/>
  <c r="C108" i="90" s="1"/>
  <c r="A109" i="90"/>
  <c r="C109" i="90" s="1"/>
  <c r="A110" i="90"/>
  <c r="C110" i="90" s="1"/>
  <c r="A111" i="90"/>
  <c r="C111" i="90" s="1"/>
  <c r="A112" i="90"/>
  <c r="C112" i="90" s="1"/>
  <c r="A113" i="90"/>
  <c r="C113" i="90" s="1"/>
  <c r="A114" i="90"/>
  <c r="C114" i="90" s="1"/>
  <c r="A115" i="90"/>
  <c r="A116" i="90"/>
  <c r="C116" i="90" s="1"/>
  <c r="A117" i="90"/>
  <c r="C117" i="90" s="1"/>
  <c r="A118" i="90"/>
  <c r="C118" i="90" s="1"/>
  <c r="A119" i="90"/>
  <c r="C119" i="90" s="1"/>
  <c r="A120" i="90"/>
  <c r="C120" i="90" s="1"/>
  <c r="A121" i="90"/>
  <c r="C121" i="90" s="1"/>
  <c r="A122" i="90"/>
  <c r="C122" i="90" s="1"/>
  <c r="A123" i="90"/>
  <c r="C123" i="90" s="1"/>
  <c r="A124" i="90"/>
  <c r="C124" i="90" s="1"/>
  <c r="A125" i="90"/>
  <c r="C125" i="90" s="1"/>
  <c r="A126" i="90"/>
  <c r="C126" i="90" s="1"/>
  <c r="A127" i="90"/>
  <c r="C127" i="90" s="1"/>
  <c r="A128" i="90"/>
  <c r="C128" i="90" s="1"/>
  <c r="A129" i="90"/>
  <c r="C129" i="90" s="1"/>
  <c r="A130" i="90"/>
  <c r="C130" i="90" s="1"/>
  <c r="A131" i="90"/>
  <c r="C131" i="90" s="1"/>
  <c r="A13" i="90"/>
  <c r="C13" i="90" s="1"/>
  <c r="AU26" i="90"/>
  <c r="AV26" i="90"/>
  <c r="AU27" i="90"/>
  <c r="AV27" i="90"/>
  <c r="AU28" i="90"/>
  <c r="AV28" i="90"/>
  <c r="AU29" i="90"/>
  <c r="AV29" i="90"/>
  <c r="AU30" i="90"/>
  <c r="AV30" i="90"/>
  <c r="AU31" i="90"/>
  <c r="AV31" i="90"/>
  <c r="AU32" i="90"/>
  <c r="AV32" i="90"/>
  <c r="AU33" i="90"/>
  <c r="AV33" i="90"/>
  <c r="AU34" i="90"/>
  <c r="AV34" i="90"/>
  <c r="AU35" i="90"/>
  <c r="AV35" i="90"/>
  <c r="AU36" i="90"/>
  <c r="AV36" i="90"/>
  <c r="AU37" i="90"/>
  <c r="AV37" i="90"/>
  <c r="AU38" i="90"/>
  <c r="AV38" i="90"/>
  <c r="AU39" i="90"/>
  <c r="AV39" i="90"/>
  <c r="AU40" i="90"/>
  <c r="AV40" i="90"/>
  <c r="AU41" i="90"/>
  <c r="AV41" i="90"/>
  <c r="AU42" i="90"/>
  <c r="AV42" i="90"/>
  <c r="AU43" i="90"/>
  <c r="AV43" i="90"/>
  <c r="AU44" i="90"/>
  <c r="AV44" i="90"/>
  <c r="AU45" i="90"/>
  <c r="AV45" i="90"/>
  <c r="AU46" i="90"/>
  <c r="AV46" i="90"/>
  <c r="AU47" i="90"/>
  <c r="AV47" i="90"/>
  <c r="AU48" i="90"/>
  <c r="AV48" i="90"/>
  <c r="AU49" i="90"/>
  <c r="AV49" i="90"/>
  <c r="AU50" i="90"/>
  <c r="AV50" i="90"/>
  <c r="AU51" i="90"/>
  <c r="AV51" i="90"/>
  <c r="AU52" i="90"/>
  <c r="AV52" i="90"/>
  <c r="AU53" i="90"/>
  <c r="AV53" i="90"/>
  <c r="AU54" i="90"/>
  <c r="AV54" i="90"/>
  <c r="AU55" i="90"/>
  <c r="AV55" i="90"/>
  <c r="AU56" i="90"/>
  <c r="AV56" i="90"/>
  <c r="AU57" i="90"/>
  <c r="AV57" i="90"/>
  <c r="AU58" i="90"/>
  <c r="AV58" i="90"/>
  <c r="AU59" i="90"/>
  <c r="AV59" i="90"/>
  <c r="AU60" i="90"/>
  <c r="AV60" i="90"/>
  <c r="AU61" i="90"/>
  <c r="AV61" i="90"/>
  <c r="AU62" i="90"/>
  <c r="AV62" i="90"/>
  <c r="AU63" i="90"/>
  <c r="AV63" i="90"/>
  <c r="AU64" i="90"/>
  <c r="AV64" i="90"/>
  <c r="AU65" i="90"/>
  <c r="AV65" i="90"/>
  <c r="AU66" i="90"/>
  <c r="AV66" i="90"/>
  <c r="AU67" i="90"/>
  <c r="AV67" i="90"/>
  <c r="AP68" i="90"/>
  <c r="AU68" i="90"/>
  <c r="AV68" i="90"/>
  <c r="AU69" i="90"/>
  <c r="AV69" i="90"/>
  <c r="AU70" i="90"/>
  <c r="AV70" i="90"/>
  <c r="AU71" i="90"/>
  <c r="AV71" i="90"/>
  <c r="AU72" i="90"/>
  <c r="AV72" i="90"/>
  <c r="AU73" i="90"/>
  <c r="AV73" i="90"/>
  <c r="AP74" i="90"/>
  <c r="BE74" i="90" s="1"/>
  <c r="BA74" i="90" s="1"/>
  <c r="AU74" i="90"/>
  <c r="AV74" i="90"/>
  <c r="AU75" i="90"/>
  <c r="AV75" i="90"/>
  <c r="AU76" i="90"/>
  <c r="AV76" i="90"/>
  <c r="AU77" i="90"/>
  <c r="AV77" i="90"/>
  <c r="AU78" i="90"/>
  <c r="AV78" i="90"/>
  <c r="AU79" i="90"/>
  <c r="AV79" i="90"/>
  <c r="AU80" i="90"/>
  <c r="AV80" i="90"/>
  <c r="AU81" i="90"/>
  <c r="AV81" i="90"/>
  <c r="AU82" i="90"/>
  <c r="AV82" i="90"/>
  <c r="AU83" i="90"/>
  <c r="AV83" i="90"/>
  <c r="AU84" i="90"/>
  <c r="AV84" i="90"/>
  <c r="AU85" i="90"/>
  <c r="AV85" i="90"/>
  <c r="AU86" i="90"/>
  <c r="AV86" i="90"/>
  <c r="AU87" i="90"/>
  <c r="AV87" i="90"/>
  <c r="AU88" i="90"/>
  <c r="AV88" i="90"/>
  <c r="AU89" i="90"/>
  <c r="AV89" i="90"/>
  <c r="AU90" i="90"/>
  <c r="AV90" i="90"/>
  <c r="AU91" i="90"/>
  <c r="AV91" i="90"/>
  <c r="AU92" i="90"/>
  <c r="AV92" i="90"/>
  <c r="AU93" i="90"/>
  <c r="AV93" i="90"/>
  <c r="AU94" i="90"/>
  <c r="AV94" i="90"/>
  <c r="AU95" i="90"/>
  <c r="AV95" i="90"/>
  <c r="AU96" i="90"/>
  <c r="AV96" i="90"/>
  <c r="AU97" i="90"/>
  <c r="AV97" i="90"/>
  <c r="AU98" i="90"/>
  <c r="AV98" i="90"/>
  <c r="AU99" i="90"/>
  <c r="AV99" i="90"/>
  <c r="AU100" i="90"/>
  <c r="AV100" i="90"/>
  <c r="AU101" i="90"/>
  <c r="AV101" i="90"/>
  <c r="AU102" i="90"/>
  <c r="AV102" i="90"/>
  <c r="AU103" i="90"/>
  <c r="AV103" i="90"/>
  <c r="AU104" i="90"/>
  <c r="AV104" i="90"/>
  <c r="AU105" i="90"/>
  <c r="AV105" i="90"/>
  <c r="AU106" i="90"/>
  <c r="AV106" i="90"/>
  <c r="AU107" i="90"/>
  <c r="AV107" i="90"/>
  <c r="AU108" i="90"/>
  <c r="AV108" i="90"/>
  <c r="AU109" i="90"/>
  <c r="AV109" i="90"/>
  <c r="AU110" i="90"/>
  <c r="AV110" i="90"/>
  <c r="AU111" i="90"/>
  <c r="AV111" i="90"/>
  <c r="AU112" i="90"/>
  <c r="AV112" i="90"/>
  <c r="AU113" i="90"/>
  <c r="AV113" i="90"/>
  <c r="AU114" i="90"/>
  <c r="AV114" i="90"/>
  <c r="AU115" i="90"/>
  <c r="AV115" i="90"/>
  <c r="AU116" i="90"/>
  <c r="AV116" i="90"/>
  <c r="AU117" i="90"/>
  <c r="AV117" i="90"/>
  <c r="AU118" i="90"/>
  <c r="AV118" i="90"/>
  <c r="AU119" i="90"/>
  <c r="AV119" i="90"/>
  <c r="AU120" i="90"/>
  <c r="AV120" i="90"/>
  <c r="AU121" i="90"/>
  <c r="AV121" i="90"/>
  <c r="AU122" i="90"/>
  <c r="AV122" i="90"/>
  <c r="AU123" i="90"/>
  <c r="AV123" i="90"/>
  <c r="AU124" i="90"/>
  <c r="AV124" i="90"/>
  <c r="AU125" i="90"/>
  <c r="AV125" i="90"/>
  <c r="AU126" i="90"/>
  <c r="AV126" i="90"/>
  <c r="AU127" i="90"/>
  <c r="AV127" i="90"/>
  <c r="AU128" i="90"/>
  <c r="AV128" i="90"/>
  <c r="AU129" i="90"/>
  <c r="AV129" i="90"/>
  <c r="AU130" i="90"/>
  <c r="AV130" i="90"/>
  <c r="AU131" i="90"/>
  <c r="AV131" i="90"/>
  <c r="AN50" i="90" l="1"/>
  <c r="AO50" i="90" s="1"/>
  <c r="AN62" i="90"/>
  <c r="AO62" i="90" s="1"/>
  <c r="AN75" i="90"/>
  <c r="AO75" i="90" s="1"/>
  <c r="AN77" i="90"/>
  <c r="AO77" i="90" s="1"/>
  <c r="AN87" i="90"/>
  <c r="AO87" i="90" s="1"/>
  <c r="AN89" i="90"/>
  <c r="AO89" i="90" s="1"/>
  <c r="AN99" i="90"/>
  <c r="AO99" i="90" s="1"/>
  <c r="AN101" i="90"/>
  <c r="AO101" i="90" s="1"/>
  <c r="AN111" i="90"/>
  <c r="AO111" i="90" s="1"/>
  <c r="AN113" i="90"/>
  <c r="AO113" i="90" s="1"/>
  <c r="AN123" i="90"/>
  <c r="AO123" i="90" s="1"/>
  <c r="AN125" i="90"/>
  <c r="AO125" i="90" s="1"/>
  <c r="AN15" i="90"/>
  <c r="AO15" i="90" s="1"/>
  <c r="AN16" i="90"/>
  <c r="AO16" i="90" s="1"/>
  <c r="AN19" i="90"/>
  <c r="AO19" i="90" s="1"/>
  <c r="AN27" i="90"/>
  <c r="AO27" i="90" s="1"/>
  <c r="AN28" i="90"/>
  <c r="AO28" i="90" s="1"/>
  <c r="AN31" i="90"/>
  <c r="AO31" i="90" s="1"/>
  <c r="AN39" i="90"/>
  <c r="AO39" i="90" s="1"/>
  <c r="AN40" i="90"/>
  <c r="AO40" i="90" s="1"/>
  <c r="AN43" i="90"/>
  <c r="AO43" i="90" s="1"/>
  <c r="AN48" i="90"/>
  <c r="AO48" i="90" s="1"/>
  <c r="AN51" i="90"/>
  <c r="AO51" i="90" s="1"/>
  <c r="AN52" i="90"/>
  <c r="AO52" i="90" s="1"/>
  <c r="AN55" i="90"/>
  <c r="AO55" i="90" s="1"/>
  <c r="AP55" i="90"/>
  <c r="AN60" i="90"/>
  <c r="AO60" i="90" s="1"/>
  <c r="AN63" i="90"/>
  <c r="AO63" i="90" s="1"/>
  <c r="AN64" i="90"/>
  <c r="AO64" i="90" s="1"/>
  <c r="AN67" i="90"/>
  <c r="AO67" i="90" s="1"/>
  <c r="AN73" i="90"/>
  <c r="AO73" i="90" s="1"/>
  <c r="AN76" i="90"/>
  <c r="AO76" i="90" s="1"/>
  <c r="AN85" i="90"/>
  <c r="AO85" i="90" s="1"/>
  <c r="AN88" i="90"/>
  <c r="AO88" i="90" s="1"/>
  <c r="AN97" i="90"/>
  <c r="AO97" i="90" s="1"/>
  <c r="AN106" i="90"/>
  <c r="AO106" i="90" s="1"/>
  <c r="AN112" i="90"/>
  <c r="AO112" i="90" s="1"/>
  <c r="AN72" i="90"/>
  <c r="AO72" i="90" s="1"/>
  <c r="AN84" i="90"/>
  <c r="AO84" i="90" s="1"/>
  <c r="AN96" i="90"/>
  <c r="AO96" i="90" s="1"/>
  <c r="AN108" i="90"/>
  <c r="AO108" i="90" s="1"/>
  <c r="AN38" i="90"/>
  <c r="AO38" i="90" s="1"/>
  <c r="AN79" i="90"/>
  <c r="AO79" i="90" s="1"/>
  <c r="AN120" i="90"/>
  <c r="AO120" i="90" s="1"/>
  <c r="AP44" i="90"/>
  <c r="BE44" i="90" s="1"/>
  <c r="BA44" i="90" s="1"/>
  <c r="AP52" i="90"/>
  <c r="BE52" i="90" s="1"/>
  <c r="BA52" i="90" s="1"/>
  <c r="AN58" i="90"/>
  <c r="AO58" i="90" s="1"/>
  <c r="AN36" i="90"/>
  <c r="AO36" i="90" s="1"/>
  <c r="AN17" i="90"/>
  <c r="AO17" i="90" s="1"/>
  <c r="AN20" i="90"/>
  <c r="AO20" i="90" s="1"/>
  <c r="AN29" i="90"/>
  <c r="AO29" i="90" s="1"/>
  <c r="AN32" i="90"/>
  <c r="AO32" i="90" s="1"/>
  <c r="AN41" i="90"/>
  <c r="AO41" i="90" s="1"/>
  <c r="AN44" i="90"/>
  <c r="AO44" i="90" s="1"/>
  <c r="AN53" i="90"/>
  <c r="AO53" i="90" s="1"/>
  <c r="AN56" i="90"/>
  <c r="AO56" i="90" s="1"/>
  <c r="AN65" i="90"/>
  <c r="AO65" i="90" s="1"/>
  <c r="AN68" i="90"/>
  <c r="AO68" i="90" s="1"/>
  <c r="AN71" i="90"/>
  <c r="AO71" i="90" s="1"/>
  <c r="AN74" i="90"/>
  <c r="AO74" i="90" s="1"/>
  <c r="AN83" i="90"/>
  <c r="AO83" i="90" s="1"/>
  <c r="AN86" i="90"/>
  <c r="AO86" i="90" s="1"/>
  <c r="AN91" i="90"/>
  <c r="AO91" i="90" s="1"/>
  <c r="AN95" i="90"/>
  <c r="AO95" i="90" s="1"/>
  <c r="AN98" i="90"/>
  <c r="AO98" i="90" s="1"/>
  <c r="AN103" i="90"/>
  <c r="AO103" i="90" s="1"/>
  <c r="AN107" i="90"/>
  <c r="AO107" i="90" s="1"/>
  <c r="AN110" i="90"/>
  <c r="AO110" i="90" s="1"/>
  <c r="AN119" i="90"/>
  <c r="AO119" i="90" s="1"/>
  <c r="AN122" i="90"/>
  <c r="AO122" i="90" s="1"/>
  <c r="AN131" i="90"/>
  <c r="AO131" i="90" s="1"/>
  <c r="AN116" i="90"/>
  <c r="AO116" i="90" s="1"/>
  <c r="AN24" i="90"/>
  <c r="AO24" i="90" s="1"/>
  <c r="AN13" i="90"/>
  <c r="AO13" i="90" s="1"/>
  <c r="AN14" i="90"/>
  <c r="AO14" i="90" s="1"/>
  <c r="AN22" i="90"/>
  <c r="AO22" i="90" s="1"/>
  <c r="AN23" i="90"/>
  <c r="AO23" i="90" s="1"/>
  <c r="AN25" i="90"/>
  <c r="AO25" i="90" s="1"/>
  <c r="AN26" i="90"/>
  <c r="AO26" i="90" s="1"/>
  <c r="AN34" i="90"/>
  <c r="AO34" i="90" s="1"/>
  <c r="AN35" i="90"/>
  <c r="AO35" i="90" s="1"/>
  <c r="AN37" i="90"/>
  <c r="AO37" i="90" s="1"/>
  <c r="AN46" i="90"/>
  <c r="AO46" i="90" s="1"/>
  <c r="AN49" i="90"/>
  <c r="AO49" i="90" s="1"/>
  <c r="AN61" i="90"/>
  <c r="AO61" i="90" s="1"/>
  <c r="AP65" i="90"/>
  <c r="BE65" i="90" s="1"/>
  <c r="BA65" i="90" s="1"/>
  <c r="AN59" i="90"/>
  <c r="AO59" i="90" s="1"/>
  <c r="AQ68" i="90"/>
  <c r="AN47" i="90"/>
  <c r="AO47" i="90" s="1"/>
  <c r="AN80" i="90"/>
  <c r="AO80" i="90" s="1"/>
  <c r="AN92" i="90"/>
  <c r="AO92" i="90" s="1"/>
  <c r="AN104" i="90"/>
  <c r="AO104" i="90" s="1"/>
  <c r="AW55" i="90"/>
  <c r="AZ55" i="90" s="1"/>
  <c r="BE55" i="90"/>
  <c r="BA55" i="90" s="1"/>
  <c r="AN128" i="90"/>
  <c r="AO128" i="90" s="1"/>
  <c r="AW68" i="90"/>
  <c r="AZ68" i="90" s="1"/>
  <c r="BE68" i="90"/>
  <c r="BA68" i="90" s="1"/>
  <c r="AN69" i="90"/>
  <c r="AO69" i="90" s="1"/>
  <c r="AN81" i="90"/>
  <c r="AO81" i="90" s="1"/>
  <c r="AN127" i="90"/>
  <c r="AO127" i="90" s="1"/>
  <c r="AW115" i="90"/>
  <c r="AZ115" i="90" s="1"/>
  <c r="BE115" i="90"/>
  <c r="BA115" i="90" s="1"/>
  <c r="AW127" i="90"/>
  <c r="AZ127" i="90" s="1"/>
  <c r="BE127" i="90"/>
  <c r="BA127" i="90" s="1"/>
  <c r="AN78" i="90"/>
  <c r="AO78" i="90" s="1"/>
  <c r="AN93" i="90"/>
  <c r="AO93" i="90" s="1"/>
  <c r="AN100" i="90"/>
  <c r="AO100" i="90" s="1"/>
  <c r="AN124" i="90"/>
  <c r="AO124" i="90" s="1"/>
  <c r="AN70" i="90"/>
  <c r="AO70" i="90" s="1"/>
  <c r="AN115" i="90"/>
  <c r="AO115" i="90" s="1"/>
  <c r="AN117" i="90"/>
  <c r="AO117" i="90" s="1"/>
  <c r="AN126" i="90"/>
  <c r="AO126" i="90" s="1"/>
  <c r="AQ130" i="90"/>
  <c r="AQ118" i="90"/>
  <c r="AP95" i="90"/>
  <c r="AW95" i="90" s="1"/>
  <c r="AZ95" i="90" s="1"/>
  <c r="AP107" i="90"/>
  <c r="BE107" i="90" s="1"/>
  <c r="BA107" i="90" s="1"/>
  <c r="AP104" i="90"/>
  <c r="BE104" i="90" s="1"/>
  <c r="BA104" i="90" s="1"/>
  <c r="AP99" i="90"/>
  <c r="BE99" i="90" s="1"/>
  <c r="BA99" i="90" s="1"/>
  <c r="AP81" i="90"/>
  <c r="BE81" i="90" s="1"/>
  <c r="BA81" i="90" s="1"/>
  <c r="AP66" i="90"/>
  <c r="BE66" i="90" s="1"/>
  <c r="BA66" i="90" s="1"/>
  <c r="AP39" i="90"/>
  <c r="BE39" i="90" s="1"/>
  <c r="BA39" i="90" s="1"/>
  <c r="AP35" i="90"/>
  <c r="BE35" i="90" s="1"/>
  <c r="BA35" i="90" s="1"/>
  <c r="AP34" i="90"/>
  <c r="BE34" i="90" s="1"/>
  <c r="BA34" i="90" s="1"/>
  <c r="AP29" i="90"/>
  <c r="BE29" i="90" s="1"/>
  <c r="BA29" i="90" s="1"/>
  <c r="AP26" i="90"/>
  <c r="BE26" i="90" s="1"/>
  <c r="BA26" i="90" s="1"/>
  <c r="AP69" i="90"/>
  <c r="BE69" i="90" s="1"/>
  <c r="BA69" i="90" s="1"/>
  <c r="AP40" i="90"/>
  <c r="BE40" i="90" s="1"/>
  <c r="BA40" i="90" s="1"/>
  <c r="AP32" i="90"/>
  <c r="BE32" i="90" s="1"/>
  <c r="BA32" i="90" s="1"/>
  <c r="AP59" i="90"/>
  <c r="BE59" i="90" s="1"/>
  <c r="BA59" i="90" s="1"/>
  <c r="AP27" i="90"/>
  <c r="BE27" i="90" s="1"/>
  <c r="BA27" i="90" s="1"/>
  <c r="AP97" i="90"/>
  <c r="BE97" i="90" s="1"/>
  <c r="BA97" i="90" s="1"/>
  <c r="AP63" i="90"/>
  <c r="BE63" i="90" s="1"/>
  <c r="BA63" i="90" s="1"/>
  <c r="AP45" i="90"/>
  <c r="AP38" i="90"/>
  <c r="BE38" i="90" s="1"/>
  <c r="BA38" i="90" s="1"/>
  <c r="AP33" i="90"/>
  <c r="BE33" i="90" s="1"/>
  <c r="BA33" i="90" s="1"/>
  <c r="AP28" i="90"/>
  <c r="BE28" i="90" s="1"/>
  <c r="BA28" i="90" s="1"/>
  <c r="AP129" i="90"/>
  <c r="AP123" i="90"/>
  <c r="BE123" i="90" s="1"/>
  <c r="BA123" i="90" s="1"/>
  <c r="AP111" i="90"/>
  <c r="AQ111" i="90" s="1"/>
  <c r="AP96" i="90"/>
  <c r="BE96" i="90" s="1"/>
  <c r="BA96" i="90" s="1"/>
  <c r="AP90" i="90"/>
  <c r="BE90" i="90" s="1"/>
  <c r="BA90" i="90" s="1"/>
  <c r="AP103" i="90"/>
  <c r="BE103" i="90" s="1"/>
  <c r="BA103" i="90" s="1"/>
  <c r="AP122" i="90"/>
  <c r="BE122" i="90" s="1"/>
  <c r="BA122" i="90" s="1"/>
  <c r="AP85" i="90"/>
  <c r="BE85" i="90" s="1"/>
  <c r="BA85" i="90" s="1"/>
  <c r="AP75" i="90"/>
  <c r="BE75" i="90" s="1"/>
  <c r="BA75" i="90" s="1"/>
  <c r="AP56" i="90"/>
  <c r="AP54" i="90"/>
  <c r="BE54" i="90" s="1"/>
  <c r="BA54" i="90" s="1"/>
  <c r="AP43" i="90"/>
  <c r="BE43" i="90" s="1"/>
  <c r="BA43" i="90" s="1"/>
  <c r="AP37" i="90"/>
  <c r="AP30" i="90"/>
  <c r="BE30" i="90" s="1"/>
  <c r="BA30" i="90" s="1"/>
  <c r="AP112" i="90"/>
  <c r="BE112" i="90" s="1"/>
  <c r="BA112" i="90" s="1"/>
  <c r="AP80" i="90"/>
  <c r="BE80" i="90" s="1"/>
  <c r="BA80" i="90" s="1"/>
  <c r="AP71" i="90"/>
  <c r="BE71" i="90" s="1"/>
  <c r="BA71" i="90" s="1"/>
  <c r="AP67" i="90"/>
  <c r="AP57" i="90"/>
  <c r="BE57" i="90" s="1"/>
  <c r="BA57" i="90" s="1"/>
  <c r="AP53" i="90"/>
  <c r="BE53" i="90" s="1"/>
  <c r="BA53" i="90" s="1"/>
  <c r="AP48" i="90"/>
  <c r="BE48" i="90" s="1"/>
  <c r="BA48" i="90" s="1"/>
  <c r="AP46" i="90"/>
  <c r="BE46" i="90" s="1"/>
  <c r="BA46" i="90" s="1"/>
  <c r="AP105" i="90"/>
  <c r="BE105" i="90" s="1"/>
  <c r="BA105" i="90" s="1"/>
  <c r="AP87" i="90"/>
  <c r="BE87" i="90" s="1"/>
  <c r="BA87" i="90" s="1"/>
  <c r="AP120" i="90"/>
  <c r="BE120" i="90" s="1"/>
  <c r="BA120" i="90" s="1"/>
  <c r="AP106" i="90"/>
  <c r="AP93" i="90"/>
  <c r="BE93" i="90" s="1"/>
  <c r="BA93" i="90" s="1"/>
  <c r="AP83" i="90"/>
  <c r="BE83" i="90" s="1"/>
  <c r="BA83" i="90" s="1"/>
  <c r="AP78" i="90"/>
  <c r="BE78" i="90" s="1"/>
  <c r="BA78" i="90" s="1"/>
  <c r="AP62" i="90"/>
  <c r="BE62" i="90" s="1"/>
  <c r="BA62" i="90" s="1"/>
  <c r="AP51" i="90"/>
  <c r="BE51" i="90" s="1"/>
  <c r="BA51" i="90" s="1"/>
  <c r="AP41" i="90"/>
  <c r="BE41" i="90" s="1"/>
  <c r="BA41" i="90" s="1"/>
  <c r="AP36" i="90"/>
  <c r="BE36" i="90" s="1"/>
  <c r="BA36" i="90" s="1"/>
  <c r="AP58" i="90"/>
  <c r="BE58" i="90" s="1"/>
  <c r="BA58" i="90" s="1"/>
  <c r="AP131" i="90"/>
  <c r="BE131" i="90" s="1"/>
  <c r="BA131" i="90" s="1"/>
  <c r="AP125" i="90"/>
  <c r="AP117" i="90"/>
  <c r="AP73" i="90"/>
  <c r="BE73" i="90" s="1"/>
  <c r="BA73" i="90" s="1"/>
  <c r="AP31" i="90"/>
  <c r="BE31" i="90" s="1"/>
  <c r="BA31" i="90" s="1"/>
  <c r="AP113" i="90"/>
  <c r="BE113" i="90" s="1"/>
  <c r="BA113" i="90" s="1"/>
  <c r="AP92" i="90"/>
  <c r="AP84" i="90"/>
  <c r="BE84" i="90" s="1"/>
  <c r="BA84" i="90" s="1"/>
  <c r="AQ131" i="90"/>
  <c r="AW131" i="90"/>
  <c r="AZ131" i="90" s="1"/>
  <c r="AW120" i="90"/>
  <c r="AZ120" i="90" s="1"/>
  <c r="AQ120" i="90"/>
  <c r="AQ129" i="90"/>
  <c r="AW107" i="90"/>
  <c r="AZ107" i="90" s="1"/>
  <c r="AQ107" i="90"/>
  <c r="AQ121" i="90"/>
  <c r="AW121" i="90"/>
  <c r="AZ121" i="90" s="1"/>
  <c r="AW118" i="90"/>
  <c r="AZ118" i="90" s="1"/>
  <c r="AQ108" i="90"/>
  <c r="AW108" i="90"/>
  <c r="AZ108" i="90" s="1"/>
  <c r="AW104" i="90"/>
  <c r="AZ104" i="90" s="1"/>
  <c r="AQ104" i="90"/>
  <c r="AW122" i="90"/>
  <c r="AZ122" i="90" s="1"/>
  <c r="AQ122" i="90"/>
  <c r="AW130" i="90"/>
  <c r="AZ130" i="90" s="1"/>
  <c r="AW113" i="90"/>
  <c r="AZ113" i="90" s="1"/>
  <c r="AW76" i="90"/>
  <c r="AZ76" i="90" s="1"/>
  <c r="AQ76" i="90"/>
  <c r="AP114" i="90"/>
  <c r="BE114" i="90" s="1"/>
  <c r="BA114" i="90" s="1"/>
  <c r="AP109" i="90"/>
  <c r="BE109" i="90" s="1"/>
  <c r="BA109" i="90" s="1"/>
  <c r="AP124" i="90"/>
  <c r="BE124" i="90" s="1"/>
  <c r="BA124" i="90" s="1"/>
  <c r="AQ113" i="90"/>
  <c r="AP116" i="90"/>
  <c r="BE116" i="90" s="1"/>
  <c r="BA116" i="90" s="1"/>
  <c r="AP126" i="90"/>
  <c r="BE126" i="90" s="1"/>
  <c r="BA126" i="90" s="1"/>
  <c r="AP119" i="90"/>
  <c r="BE119" i="90" s="1"/>
  <c r="BA119" i="90" s="1"/>
  <c r="AP128" i="90"/>
  <c r="BE128" i="90" s="1"/>
  <c r="BA128" i="90" s="1"/>
  <c r="AP89" i="90"/>
  <c r="BE89" i="90" s="1"/>
  <c r="BA89" i="90" s="1"/>
  <c r="AQ81" i="90"/>
  <c r="AW81" i="90"/>
  <c r="AZ81" i="90" s="1"/>
  <c r="AP77" i="90"/>
  <c r="BE77" i="90" s="1"/>
  <c r="BA77" i="90" s="1"/>
  <c r="AQ71" i="90"/>
  <c r="AW71" i="90"/>
  <c r="AZ71" i="90" s="1"/>
  <c r="AQ127" i="90"/>
  <c r="AQ115" i="90"/>
  <c r="AP101" i="90"/>
  <c r="BE101" i="90" s="1"/>
  <c r="BA101" i="90" s="1"/>
  <c r="AQ49" i="90"/>
  <c r="AW49" i="90"/>
  <c r="AZ49" i="90" s="1"/>
  <c r="AW88" i="90"/>
  <c r="AZ88" i="90" s="1"/>
  <c r="AQ88" i="90"/>
  <c r="AQ78" i="90"/>
  <c r="AQ74" i="90"/>
  <c r="AW74" i="90"/>
  <c r="AZ74" i="90" s="1"/>
  <c r="AW100" i="90"/>
  <c r="AZ100" i="90" s="1"/>
  <c r="AQ100" i="90"/>
  <c r="AP86" i="90"/>
  <c r="BE86" i="90" s="1"/>
  <c r="BA86" i="90" s="1"/>
  <c r="AQ28" i="90"/>
  <c r="AW28" i="90"/>
  <c r="AZ28" i="90" s="1"/>
  <c r="AP110" i="90"/>
  <c r="BE110" i="90" s="1"/>
  <c r="BA110" i="90" s="1"/>
  <c r="AW102" i="90"/>
  <c r="AZ102" i="90" s="1"/>
  <c r="AQ102" i="90"/>
  <c r="AP98" i="90"/>
  <c r="BE98" i="90" s="1"/>
  <c r="BA98" i="90" s="1"/>
  <c r="AP82" i="90"/>
  <c r="BE82" i="90" s="1"/>
  <c r="BA82" i="90" s="1"/>
  <c r="AP79" i="90"/>
  <c r="BE79" i="90" s="1"/>
  <c r="BA79" i="90" s="1"/>
  <c r="AQ37" i="90"/>
  <c r="AP94" i="90"/>
  <c r="BE94" i="90" s="1"/>
  <c r="BA94" i="90" s="1"/>
  <c r="AP91" i="90"/>
  <c r="BE91" i="90" s="1"/>
  <c r="BA91" i="90" s="1"/>
  <c r="AQ75" i="90"/>
  <c r="AW75" i="90"/>
  <c r="AZ75" i="90" s="1"/>
  <c r="AQ103" i="90"/>
  <c r="AW103" i="90"/>
  <c r="AZ103" i="90" s="1"/>
  <c r="AQ87" i="90"/>
  <c r="AW87" i="90"/>
  <c r="AZ87" i="90" s="1"/>
  <c r="AQ84" i="90"/>
  <c r="AW84" i="90"/>
  <c r="AZ84" i="90" s="1"/>
  <c r="AW83" i="90"/>
  <c r="AZ83" i="90" s="1"/>
  <c r="AQ72" i="90"/>
  <c r="AW72" i="90"/>
  <c r="AZ72" i="90" s="1"/>
  <c r="AQ99" i="90"/>
  <c r="AW99" i="90"/>
  <c r="AZ99" i="90" s="1"/>
  <c r="AQ83" i="90"/>
  <c r="AW80" i="90"/>
  <c r="AZ80" i="90" s="1"/>
  <c r="AQ80" i="90"/>
  <c r="AQ62" i="90"/>
  <c r="AW62" i="90"/>
  <c r="AZ62" i="90" s="1"/>
  <c r="AW58" i="90"/>
  <c r="AZ58" i="90" s="1"/>
  <c r="AQ58" i="90"/>
  <c r="AP42" i="90"/>
  <c r="BE42" i="90" s="1"/>
  <c r="BA42" i="90" s="1"/>
  <c r="AQ26" i="90"/>
  <c r="AW26" i="90"/>
  <c r="AZ26" i="90" s="1"/>
  <c r="AQ61" i="90"/>
  <c r="AW61" i="90"/>
  <c r="AZ61" i="90" s="1"/>
  <c r="AW51" i="90"/>
  <c r="AZ51" i="90" s="1"/>
  <c r="AQ51" i="90"/>
  <c r="AP47" i="90"/>
  <c r="BE47" i="90" s="1"/>
  <c r="BA47" i="90" s="1"/>
  <c r="AQ43" i="90"/>
  <c r="AW39" i="90"/>
  <c r="AZ39" i="90" s="1"/>
  <c r="AQ39" i="90"/>
  <c r="AW27" i="90"/>
  <c r="AZ27" i="90" s="1"/>
  <c r="AQ27" i="90"/>
  <c r="AW63" i="90"/>
  <c r="AZ63" i="90" s="1"/>
  <c r="AQ55" i="90"/>
  <c r="AW43" i="90"/>
  <c r="AZ43" i="90" s="1"/>
  <c r="AW32" i="90"/>
  <c r="AZ32" i="90" s="1"/>
  <c r="AQ67" i="90"/>
  <c r="AP64" i="90"/>
  <c r="BE64" i="90" s="1"/>
  <c r="BA64" i="90" s="1"/>
  <c r="AW36" i="90"/>
  <c r="AZ36" i="90" s="1"/>
  <c r="AQ36" i="90"/>
  <c r="AW48" i="90"/>
  <c r="AZ48" i="90" s="1"/>
  <c r="AQ48" i="90"/>
  <c r="AW44" i="90"/>
  <c r="AZ44" i="90" s="1"/>
  <c r="AQ33" i="90"/>
  <c r="AW33" i="90"/>
  <c r="AZ33" i="90" s="1"/>
  <c r="AW60" i="90"/>
  <c r="AZ60" i="90" s="1"/>
  <c r="AQ60" i="90"/>
  <c r="AQ57" i="90"/>
  <c r="AW57" i="90"/>
  <c r="AZ57" i="90" s="1"/>
  <c r="AW56" i="90"/>
  <c r="AZ56" i="90" s="1"/>
  <c r="AQ52" i="90"/>
  <c r="AW52" i="90"/>
  <c r="AZ52" i="90" s="1"/>
  <c r="AW29" i="90"/>
  <c r="AZ29" i="90" s="1"/>
  <c r="AQ29" i="90"/>
  <c r="AQ69" i="90"/>
  <c r="AQ54" i="90"/>
  <c r="AW54" i="90"/>
  <c r="AZ54" i="90" s="1"/>
  <c r="AQ44" i="90"/>
  <c r="AQ35" i="90"/>
  <c r="AW35" i="90"/>
  <c r="AZ35" i="90" s="1"/>
  <c r="AQ32" i="90"/>
  <c r="AQ53" i="90"/>
  <c r="AW46" i="90"/>
  <c r="AZ46" i="90" s="1"/>
  <c r="AQ46" i="90"/>
  <c r="AQ38" i="90"/>
  <c r="AW38" i="90"/>
  <c r="AZ38" i="90" s="1"/>
  <c r="AW65" i="90"/>
  <c r="AZ65" i="90" s="1"/>
  <c r="AQ65" i="90"/>
  <c r="AQ59" i="90"/>
  <c r="AW34" i="90"/>
  <c r="AZ34" i="90" s="1"/>
  <c r="AQ34" i="90"/>
  <c r="AP70" i="90"/>
  <c r="BE70" i="90" s="1"/>
  <c r="BA70" i="90" s="1"/>
  <c r="AP50" i="90"/>
  <c r="BE50" i="90" s="1"/>
  <c r="BA50" i="90" s="1"/>
  <c r="AW93" i="90" l="1"/>
  <c r="AZ93" i="90" s="1"/>
  <c r="AW53" i="90"/>
  <c r="AZ53" i="90" s="1"/>
  <c r="AQ93" i="90"/>
  <c r="AQ40" i="90"/>
  <c r="AW30" i="90"/>
  <c r="AZ30" i="90" s="1"/>
  <c r="AQ73" i="90"/>
  <c r="AW40" i="90"/>
  <c r="AZ40" i="90" s="1"/>
  <c r="AQ31" i="90"/>
  <c r="AQ30" i="90"/>
  <c r="AW112" i="90"/>
  <c r="AZ112" i="90" s="1"/>
  <c r="AW73" i="90"/>
  <c r="AZ73" i="90" s="1"/>
  <c r="AW59" i="90"/>
  <c r="AZ59" i="90" s="1"/>
  <c r="AQ112" i="90"/>
  <c r="AW31" i="90"/>
  <c r="AZ31" i="90" s="1"/>
  <c r="AW78" i="90"/>
  <c r="AZ78" i="90" s="1"/>
  <c r="AQ41" i="90"/>
  <c r="AW41" i="90"/>
  <c r="AZ41" i="90" s="1"/>
  <c r="AQ66" i="90"/>
  <c r="AQ85" i="90"/>
  <c r="AW123" i="90"/>
  <c r="AZ123" i="90" s="1"/>
  <c r="AW69" i="90"/>
  <c r="AZ69" i="90" s="1"/>
  <c r="AQ63" i="90"/>
  <c r="AW85" i="90"/>
  <c r="AZ85" i="90" s="1"/>
  <c r="AQ123" i="90"/>
  <c r="AW106" i="90"/>
  <c r="AZ106" i="90" s="1"/>
  <c r="BE106" i="90"/>
  <c r="BA106" i="90" s="1"/>
  <c r="AQ90" i="90"/>
  <c r="AW90" i="90"/>
  <c r="AZ90" i="90" s="1"/>
  <c r="AW45" i="90"/>
  <c r="AZ45" i="90" s="1"/>
  <c r="BE45" i="90"/>
  <c r="BA45" i="90" s="1"/>
  <c r="AW66" i="90"/>
  <c r="AZ66" i="90" s="1"/>
  <c r="AQ97" i="90"/>
  <c r="AW92" i="90"/>
  <c r="AZ92" i="90" s="1"/>
  <c r="BE92" i="90"/>
  <c r="BA92" i="90" s="1"/>
  <c r="AW97" i="90"/>
  <c r="AZ97" i="90" s="1"/>
  <c r="AW37" i="90"/>
  <c r="AZ37" i="90" s="1"/>
  <c r="BE37" i="90"/>
  <c r="BA37" i="90" s="1"/>
  <c r="AW111" i="90"/>
  <c r="AZ111" i="90" s="1"/>
  <c r="BE111" i="90"/>
  <c r="BA111" i="90" s="1"/>
  <c r="AQ56" i="90"/>
  <c r="BE56" i="90"/>
  <c r="BA56" i="90" s="1"/>
  <c r="AW117" i="90"/>
  <c r="AZ117" i="90" s="1"/>
  <c r="BE117" i="90"/>
  <c r="BA117" i="90" s="1"/>
  <c r="AW129" i="90"/>
  <c r="AZ129" i="90" s="1"/>
  <c r="BE129" i="90"/>
  <c r="BA129" i="90" s="1"/>
  <c r="AQ106" i="90"/>
  <c r="AW105" i="90"/>
  <c r="AZ105" i="90" s="1"/>
  <c r="AQ125" i="90"/>
  <c r="BE125" i="90"/>
  <c r="BA125" i="90" s="1"/>
  <c r="AW67" i="90"/>
  <c r="AZ67" i="90" s="1"/>
  <c r="BE67" i="90"/>
  <c r="BA67" i="90" s="1"/>
  <c r="AQ105" i="90"/>
  <c r="AQ95" i="90"/>
  <c r="BE95" i="90"/>
  <c r="BA95" i="90" s="1"/>
  <c r="AQ92" i="90"/>
  <c r="AQ45" i="90"/>
  <c r="AQ117" i="90"/>
  <c r="AW125" i="90"/>
  <c r="AZ125" i="90" s="1"/>
  <c r="AW96" i="90"/>
  <c r="AZ96" i="90" s="1"/>
  <c r="AQ96" i="90"/>
  <c r="AQ47" i="90"/>
  <c r="AW47" i="90"/>
  <c r="AZ47" i="90" s="1"/>
  <c r="AQ77" i="90"/>
  <c r="AW77" i="90"/>
  <c r="AZ77" i="90" s="1"/>
  <c r="AQ50" i="90"/>
  <c r="AW50" i="90"/>
  <c r="AZ50" i="90" s="1"/>
  <c r="AQ79" i="90"/>
  <c r="AW79" i="90"/>
  <c r="AZ79" i="90" s="1"/>
  <c r="AQ124" i="90"/>
  <c r="AW124" i="90"/>
  <c r="AZ124" i="90" s="1"/>
  <c r="AQ101" i="90"/>
  <c r="AW101" i="90"/>
  <c r="AZ101" i="90" s="1"/>
  <c r="AQ126" i="90"/>
  <c r="AW126" i="90"/>
  <c r="AZ126" i="90" s="1"/>
  <c r="AQ86" i="90"/>
  <c r="AW86" i="90"/>
  <c r="AZ86" i="90" s="1"/>
  <c r="AQ116" i="90"/>
  <c r="AW116" i="90"/>
  <c r="AZ116" i="90" s="1"/>
  <c r="AW109" i="90"/>
  <c r="AZ109" i="90" s="1"/>
  <c r="AQ109" i="90"/>
  <c r="AQ42" i="90"/>
  <c r="AW42" i="90"/>
  <c r="AZ42" i="90" s="1"/>
  <c r="AQ82" i="90"/>
  <c r="AW82" i="90"/>
  <c r="AZ82" i="90" s="1"/>
  <c r="AQ98" i="90"/>
  <c r="AW98" i="90"/>
  <c r="AZ98" i="90" s="1"/>
  <c r="AQ89" i="90"/>
  <c r="AW89" i="90"/>
  <c r="AZ89" i="90" s="1"/>
  <c r="AQ114" i="90"/>
  <c r="AW114" i="90"/>
  <c r="AZ114" i="90" s="1"/>
  <c r="AQ91" i="90"/>
  <c r="AW91" i="90"/>
  <c r="AZ91" i="90" s="1"/>
  <c r="AQ128" i="90"/>
  <c r="AW128" i="90"/>
  <c r="AZ128" i="90" s="1"/>
  <c r="AQ94" i="90"/>
  <c r="AW94" i="90"/>
  <c r="AZ94" i="90" s="1"/>
  <c r="AQ119" i="90"/>
  <c r="AW119" i="90"/>
  <c r="AZ119" i="90" s="1"/>
  <c r="AQ64" i="90"/>
  <c r="AW64" i="90"/>
  <c r="AZ64" i="90" s="1"/>
  <c r="AQ70" i="90"/>
  <c r="AW70" i="90"/>
  <c r="AZ70" i="90" s="1"/>
  <c r="AQ110" i="90"/>
  <c r="AW110" i="90"/>
  <c r="AZ110" i="90" s="1"/>
  <c r="B1" i="90"/>
  <c r="B9" i="90" s="1"/>
  <c r="Z1" i="281"/>
  <c r="B7" i="90" l="1"/>
  <c r="B6" i="90"/>
  <c r="N2" i="90"/>
  <c r="B5" i="90"/>
  <c r="E3" i="90"/>
  <c r="B4" i="90"/>
  <c r="D6" i="90"/>
  <c r="D7" i="90"/>
  <c r="C1" i="90"/>
  <c r="K5" i="90"/>
  <c r="O1" i="90" l="1"/>
  <c r="AU25" i="90"/>
  <c r="AV25" i="90"/>
  <c r="AU24" i="90"/>
  <c r="AV24" i="90"/>
  <c r="AU23" i="90"/>
  <c r="AV23" i="90"/>
  <c r="AU22" i="90"/>
  <c r="AV22" i="90"/>
  <c r="AU21" i="90"/>
  <c r="AV21" i="90"/>
  <c r="AU18" i="90"/>
  <c r="AV18" i="90"/>
  <c r="AU19" i="90"/>
  <c r="AV19" i="90"/>
  <c r="AU20" i="90"/>
  <c r="AV20" i="90"/>
  <c r="N3" i="90" l="1"/>
  <c r="N4" i="90"/>
  <c r="AP25" i="90"/>
  <c r="BE25" i="90" s="1"/>
  <c r="BA25" i="90" s="1"/>
  <c r="AP24" i="90"/>
  <c r="BE24" i="90" s="1"/>
  <c r="BA24" i="90" s="1"/>
  <c r="AP23" i="90"/>
  <c r="BE23" i="90" s="1"/>
  <c r="BA23" i="90" s="1"/>
  <c r="AP22" i="90"/>
  <c r="BE22" i="90" s="1"/>
  <c r="BA22" i="90" s="1"/>
  <c r="AP21" i="90"/>
  <c r="BE21" i="90" s="1"/>
  <c r="BA21" i="90" s="1"/>
  <c r="BF69" i="90" l="1"/>
  <c r="BF30" i="90"/>
  <c r="BF81" i="90"/>
  <c r="BF93" i="90"/>
  <c r="BF54" i="90"/>
  <c r="BF66" i="90"/>
  <c r="BF67" i="90"/>
  <c r="BF76" i="90"/>
  <c r="BF95" i="90"/>
  <c r="BF72" i="90"/>
  <c r="BF102" i="90"/>
  <c r="BF36" i="90"/>
  <c r="BF78" i="90"/>
  <c r="BF33" i="90"/>
  <c r="BF99" i="90"/>
  <c r="BF27" i="90"/>
  <c r="BF44" i="90"/>
  <c r="BF108" i="90"/>
  <c r="BF68" i="90"/>
  <c r="BF103" i="90"/>
  <c r="BF85" i="90"/>
  <c r="BF74" i="90"/>
  <c r="BF90" i="90"/>
  <c r="BF60" i="90"/>
  <c r="BF118" i="90"/>
  <c r="BF57" i="90"/>
  <c r="BF38" i="90"/>
  <c r="BF83" i="90"/>
  <c r="BF121" i="90"/>
  <c r="BF49" i="90"/>
  <c r="BF55" i="90"/>
  <c r="BF63" i="90"/>
  <c r="BF123" i="90"/>
  <c r="BF122" i="90"/>
  <c r="BF129" i="90"/>
  <c r="BF112" i="90"/>
  <c r="BF43" i="90"/>
  <c r="BF71" i="90"/>
  <c r="BF35" i="90"/>
  <c r="BF117" i="90"/>
  <c r="BF29" i="90"/>
  <c r="BF26" i="90"/>
  <c r="BF113" i="90"/>
  <c r="BF106" i="90"/>
  <c r="BF96" i="90"/>
  <c r="BF58" i="90"/>
  <c r="BF39" i="90"/>
  <c r="BF80" i="90"/>
  <c r="BF56" i="90"/>
  <c r="BF131" i="90"/>
  <c r="BF92" i="90"/>
  <c r="BF34" i="90"/>
  <c r="BF41" i="90"/>
  <c r="BF37" i="90"/>
  <c r="BF75" i="90"/>
  <c r="BF28" i="90"/>
  <c r="BF45" i="90"/>
  <c r="BF115" i="90"/>
  <c r="BF84" i="90"/>
  <c r="BF127" i="90"/>
  <c r="BF62" i="90"/>
  <c r="BF100" i="90"/>
  <c r="BF111" i="90"/>
  <c r="BF46" i="90"/>
  <c r="BF125" i="90"/>
  <c r="BF31" i="90"/>
  <c r="BF120" i="90"/>
  <c r="BF65" i="90"/>
  <c r="BF52" i="90"/>
  <c r="BF59" i="90"/>
  <c r="BF48" i="90"/>
  <c r="BF73" i="90"/>
  <c r="BF32" i="90"/>
  <c r="BF88" i="90"/>
  <c r="BF130" i="90"/>
  <c r="BF40" i="90"/>
  <c r="BF53" i="90"/>
  <c r="BF107" i="90"/>
  <c r="BF87" i="90"/>
  <c r="BF97" i="90"/>
  <c r="BF51" i="90"/>
  <c r="BF61" i="90"/>
  <c r="BF104" i="90"/>
  <c r="BF105" i="90"/>
  <c r="BF91" i="90"/>
  <c r="BF114" i="90"/>
  <c r="BF79" i="90"/>
  <c r="BF82" i="90"/>
  <c r="BF64" i="90"/>
  <c r="BF124" i="90"/>
  <c r="BF89" i="90"/>
  <c r="BF77" i="90"/>
  <c r="BF126" i="90"/>
  <c r="BF110" i="90"/>
  <c r="BF98" i="90"/>
  <c r="BF42" i="90"/>
  <c r="BF101" i="90"/>
  <c r="BF50" i="90"/>
  <c r="BF47" i="90"/>
  <c r="BF94" i="90"/>
  <c r="BF86" i="90"/>
  <c r="BF109" i="90"/>
  <c r="BF116" i="90"/>
  <c r="BF128" i="90"/>
  <c r="BF119" i="90"/>
  <c r="BF70" i="90"/>
  <c r="AW22" i="90"/>
  <c r="AZ22" i="90" s="1"/>
  <c r="AQ24" i="90"/>
  <c r="AW21" i="90"/>
  <c r="AZ21" i="90" s="1"/>
  <c r="AW25" i="90"/>
  <c r="AZ25" i="90" s="1"/>
  <c r="AQ25" i="90"/>
  <c r="AW24" i="90"/>
  <c r="AZ24" i="90" s="1"/>
  <c r="AQ23" i="90"/>
  <c r="AW23" i="90"/>
  <c r="AZ23" i="90" s="1"/>
  <c r="AQ22" i="90"/>
  <c r="AQ21" i="90"/>
  <c r="B2" i="90" l="1"/>
  <c r="AP20" i="90" l="1"/>
  <c r="BE20" i="90" s="1"/>
  <c r="BA20" i="90" s="1"/>
  <c r="AP19" i="90"/>
  <c r="BE19" i="90" s="1"/>
  <c r="BA19" i="90" s="1"/>
  <c r="AP18" i="90"/>
  <c r="BE18" i="90" s="1"/>
  <c r="BA18" i="90" s="1"/>
  <c r="AU17" i="90"/>
  <c r="AV17" i="90"/>
  <c r="AU16" i="90"/>
  <c r="AV16" i="90"/>
  <c r="AU15" i="90"/>
  <c r="AV15" i="90"/>
  <c r="AE11" i="90"/>
  <c r="AD12" i="90" s="1"/>
  <c r="AW20" i="90" l="1"/>
  <c r="AZ20" i="90" s="1"/>
  <c r="AQ20" i="90"/>
  <c r="AQ18" i="90"/>
  <c r="AW18" i="90"/>
  <c r="AZ18" i="90" s="1"/>
  <c r="AQ19" i="90"/>
  <c r="AW19" i="90"/>
  <c r="AZ19" i="90" s="1"/>
  <c r="AP16" i="90"/>
  <c r="BE16" i="90" s="1"/>
  <c r="BA16" i="90" s="1"/>
  <c r="AP17" i="90"/>
  <c r="BE17" i="90" s="1"/>
  <c r="BA17" i="90" s="1"/>
  <c r="AP15" i="90"/>
  <c r="BE15" i="90" s="1"/>
  <c r="BA15" i="90" s="1"/>
  <c r="AW17" i="90" l="1"/>
  <c r="AZ17" i="90" s="1"/>
  <c r="AQ16" i="90"/>
  <c r="AW16" i="90"/>
  <c r="AZ16" i="90" s="1"/>
  <c r="AQ17" i="90"/>
  <c r="AW15" i="90"/>
  <c r="AZ15" i="90" s="1"/>
  <c r="AQ15" i="90"/>
  <c r="O6" i="90" l="1"/>
  <c r="O5" i="90"/>
  <c r="O2" i="90"/>
  <c r="O7" i="90"/>
  <c r="AM6" i="90" l="1"/>
  <c r="AV14" i="90"/>
  <c r="AU14" i="90"/>
  <c r="AV13" i="90"/>
  <c r="AU13" i="90"/>
  <c r="AV12" i="90"/>
  <c r="AU12" i="90"/>
  <c r="AS12" i="90"/>
  <c r="C12" i="90"/>
  <c r="AE12" i="90" l="1"/>
  <c r="K3" i="90"/>
  <c r="BF24" i="90"/>
  <c r="BF23" i="90"/>
  <c r="BF25" i="90"/>
  <c r="BF22" i="90"/>
  <c r="BF21" i="90"/>
  <c r="BF20" i="90"/>
  <c r="BF19" i="90"/>
  <c r="BF18" i="90"/>
  <c r="BF15" i="90"/>
  <c r="BF17" i="90"/>
  <c r="BF16" i="90"/>
  <c r="AD13" i="90"/>
  <c r="AE13" i="90" s="1"/>
  <c r="AF12" i="90"/>
  <c r="AG12" i="90" s="1"/>
  <c r="AJ12" i="90" s="1"/>
  <c r="AP14" i="90"/>
  <c r="BE14" i="90" s="1"/>
  <c r="BA14" i="90" s="1"/>
  <c r="AP12" i="90"/>
  <c r="BE12" i="90" s="1"/>
  <c r="BA12" i="90" s="1"/>
  <c r="AP13" i="90"/>
  <c r="BE13" i="90" s="1"/>
  <c r="BA13" i="90" s="1"/>
  <c r="AW13" i="90" l="1"/>
  <c r="AZ13" i="90" s="1"/>
  <c r="AW12" i="90"/>
  <c r="AZ12" i="90" s="1"/>
  <c r="AQ14" i="90"/>
  <c r="AQ13" i="90"/>
  <c r="AW14" i="90"/>
  <c r="AZ14" i="90" s="1"/>
  <c r="AQ12" i="90"/>
  <c r="BF14" i="90"/>
  <c r="AH12" i="90"/>
  <c r="AT12" i="90"/>
  <c r="BF13" i="90" l="1"/>
  <c r="BF12" i="90"/>
  <c r="AF13" i="90"/>
  <c r="AG13" i="90" s="1"/>
  <c r="AJ13" i="90" s="1"/>
  <c r="AS13" i="90"/>
  <c r="AD14" i="90"/>
  <c r="AE14" i="90" s="1"/>
  <c r="AI12" i="90"/>
  <c r="AK12" i="90" l="1"/>
  <c r="AM12" i="90" s="1"/>
  <c r="O3" i="90"/>
  <c r="K4" i="90"/>
  <c r="AH13" i="90"/>
  <c r="AI13" i="90" s="1"/>
  <c r="AT13" i="90"/>
  <c r="BD12" i="90" l="1"/>
  <c r="AY12" i="90"/>
  <c r="AK13" i="90"/>
  <c r="AM13" i="90" s="1"/>
  <c r="AM2" i="90"/>
  <c r="AF14" i="90"/>
  <c r="AG14" i="90" s="1"/>
  <c r="AJ14" i="90" s="1"/>
  <c r="AS14" i="90"/>
  <c r="AD15" i="90"/>
  <c r="AE15" i="90" s="1"/>
  <c r="BD13" i="90" l="1"/>
  <c r="AY13" i="90"/>
  <c r="AS15" i="90"/>
  <c r="AF15" i="90"/>
  <c r="AG15" i="90" s="1"/>
  <c r="AJ15" i="90" s="1"/>
  <c r="AD16" i="90"/>
  <c r="AE16" i="90" s="1"/>
  <c r="AH14" i="90"/>
  <c r="AI14" i="90" s="1"/>
  <c r="AK14" i="90" s="1"/>
  <c r="AT14" i="90"/>
  <c r="AT15" i="90" l="1"/>
  <c r="AH15" i="90"/>
  <c r="AI15" i="90" s="1"/>
  <c r="AM14" i="90"/>
  <c r="AK15" i="90" l="1"/>
  <c r="AM15" i="90" s="1"/>
  <c r="BD14" i="90"/>
  <c r="AY14" i="90"/>
  <c r="AD17" i="90"/>
  <c r="AE17" i="90" s="1"/>
  <c r="AF16" i="90"/>
  <c r="AS16" i="90"/>
  <c r="BD15" i="90" l="1"/>
  <c r="AY15" i="90"/>
  <c r="AG16" i="90"/>
  <c r="AJ16" i="90" s="1"/>
  <c r="AH16" i="90"/>
  <c r="AI16" i="90" s="1"/>
  <c r="AK16" i="90" s="1"/>
  <c r="AT16" i="90"/>
  <c r="AM16" i="90" l="1"/>
  <c r="AF17" i="90"/>
  <c r="AS17" i="90"/>
  <c r="AD18" i="90"/>
  <c r="AE18" i="90" s="1"/>
  <c r="BD16" i="90" l="1"/>
  <c r="AY16" i="90"/>
  <c r="AF18" i="90"/>
  <c r="AG18" i="90" s="1"/>
  <c r="AJ18" i="90" s="1"/>
  <c r="AS18" i="90"/>
  <c r="AD19" i="90"/>
  <c r="AE19" i="90" s="1"/>
  <c r="AT17" i="90"/>
  <c r="AH17" i="90"/>
  <c r="AI17" i="90" s="1"/>
  <c r="AK17" i="90" s="1"/>
  <c r="AG17" i="90"/>
  <c r="AJ17" i="90" s="1"/>
  <c r="AM17" i="90" l="1"/>
  <c r="AH18" i="90"/>
  <c r="AI18" i="90" s="1"/>
  <c r="AT18" i="90"/>
  <c r="AK18" i="90" l="1"/>
  <c r="AM18" i="90" s="1"/>
  <c r="AY17" i="90"/>
  <c r="BD17" i="90"/>
  <c r="AS19" i="90"/>
  <c r="AF19" i="90"/>
  <c r="AG19" i="90" s="1"/>
  <c r="AJ19" i="90" s="1"/>
  <c r="AD20" i="90"/>
  <c r="AE20" i="90" s="1"/>
  <c r="AY18" i="90" l="1"/>
  <c r="BD18" i="90"/>
  <c r="AT19" i="90"/>
  <c r="AH19" i="90"/>
  <c r="AI19" i="90" s="1"/>
  <c r="AK19" i="90" l="1"/>
  <c r="AM19" i="90" s="1"/>
  <c r="AF20" i="90"/>
  <c r="AG20" i="90" s="1"/>
  <c r="AJ20" i="90" s="1"/>
  <c r="AS20" i="90"/>
  <c r="AD21" i="90"/>
  <c r="AE21" i="90" s="1"/>
  <c r="AY19" i="90" l="1"/>
  <c r="BD19" i="90"/>
  <c r="AD22" i="90"/>
  <c r="AE22" i="90" s="1"/>
  <c r="AF21" i="90"/>
  <c r="AS21" i="90"/>
  <c r="AH20" i="90"/>
  <c r="AI20" i="90" s="1"/>
  <c r="AK20" i="90" s="1"/>
  <c r="AT20" i="90"/>
  <c r="AS22" i="90" l="1"/>
  <c r="AF22" i="90"/>
  <c r="AD23" i="90"/>
  <c r="AE23" i="90" s="1"/>
  <c r="AG21" i="90"/>
  <c r="AJ21" i="90" s="1"/>
  <c r="AH21" i="90"/>
  <c r="AI21" i="90" s="1"/>
  <c r="AK21" i="90" s="1"/>
  <c r="AT21" i="90"/>
  <c r="AM20" i="90"/>
  <c r="AY20" i="90" l="1"/>
  <c r="BD20" i="90"/>
  <c r="AH22" i="90"/>
  <c r="AI22" i="90" s="1"/>
  <c r="AK22" i="90" s="1"/>
  <c r="AT22" i="90"/>
  <c r="AG22" i="90"/>
  <c r="AJ22" i="90" s="1"/>
  <c r="AM21" i="90"/>
  <c r="BD21" i="90" l="1"/>
  <c r="AY21" i="90"/>
  <c r="AM22" i="90"/>
  <c r="AF23" i="90"/>
  <c r="AD24" i="90"/>
  <c r="AE24" i="90" s="1"/>
  <c r="AS23" i="90"/>
  <c r="BD22" i="90" l="1"/>
  <c r="AY22" i="90"/>
  <c r="AG23" i="90"/>
  <c r="AJ23" i="90" s="1"/>
  <c r="AH23" i="90"/>
  <c r="AI23" i="90" s="1"/>
  <c r="AK23" i="90" s="1"/>
  <c r="AT23" i="90"/>
  <c r="AM23" i="90" l="1"/>
  <c r="AD25" i="90"/>
  <c r="AE25" i="90" s="1"/>
  <c r="AD26" i="90" s="1"/>
  <c r="AF24" i="90"/>
  <c r="AG24" i="90" s="1"/>
  <c r="AJ24" i="90" s="1"/>
  <c r="AS24" i="90"/>
  <c r="BD23" i="90" l="1"/>
  <c r="AY23" i="90"/>
  <c r="AE26" i="90"/>
  <c r="AS26" i="90"/>
  <c r="AF26" i="90"/>
  <c r="AH24" i="90"/>
  <c r="AI24" i="90" s="1"/>
  <c r="AK24" i="90" s="1"/>
  <c r="AT24" i="90"/>
  <c r="AG26" i="90" l="1"/>
  <c r="AJ26" i="90" s="1"/>
  <c r="AT26" i="90"/>
  <c r="AD27" i="90"/>
  <c r="AH26" i="90"/>
  <c r="AI26" i="90" s="1"/>
  <c r="AK26" i="90" s="1"/>
  <c r="AM24" i="90"/>
  <c r="AF25" i="90"/>
  <c r="AS25" i="90"/>
  <c r="BD24" i="90" l="1"/>
  <c r="AY24" i="90"/>
  <c r="AM26" i="90"/>
  <c r="AF27" i="90"/>
  <c r="AG27" i="90" s="1"/>
  <c r="AJ27" i="90" s="1"/>
  <c r="AE27" i="90"/>
  <c r="AS27" i="90"/>
  <c r="AT25" i="90"/>
  <c r="AH25" i="90"/>
  <c r="AI25" i="90" s="1"/>
  <c r="AK25" i="90" s="1"/>
  <c r="AG25" i="90"/>
  <c r="AJ25" i="90" s="1"/>
  <c r="BD26" i="90" l="1"/>
  <c r="AY26" i="90"/>
  <c r="AH27" i="90"/>
  <c r="AI27" i="90" s="1"/>
  <c r="AT27" i="90"/>
  <c r="AD28" i="90"/>
  <c r="AM25" i="90"/>
  <c r="AK27" i="90" l="1"/>
  <c r="AM27" i="90" s="1"/>
  <c r="BD25" i="90"/>
  <c r="AY25" i="90"/>
  <c r="AE28" i="90"/>
  <c r="AF28" i="90"/>
  <c r="AG28" i="90" s="1"/>
  <c r="AJ28" i="90" s="1"/>
  <c r="AS28" i="90"/>
  <c r="AY27" i="90" l="1"/>
  <c r="BD27" i="90"/>
  <c r="AT28" i="90"/>
  <c r="AH28" i="90"/>
  <c r="AI28" i="90" s="1"/>
  <c r="AK28" i="90" s="1"/>
  <c r="AD29" i="90"/>
  <c r="AS29" i="90" l="1"/>
  <c r="AF29" i="90"/>
  <c r="AE29" i="90"/>
  <c r="AM28" i="90"/>
  <c r="BD28" i="90" l="1"/>
  <c r="AY28" i="90"/>
  <c r="AH29" i="90"/>
  <c r="AI29" i="90" s="1"/>
  <c r="AK29" i="90" s="1"/>
  <c r="AD30" i="90"/>
  <c r="AT29" i="90"/>
  <c r="AG29" i="90"/>
  <c r="AJ29" i="90" s="1"/>
  <c r="AM29" i="90" l="1"/>
  <c r="AE30" i="90"/>
  <c r="AS30" i="90"/>
  <c r="AF30" i="90"/>
  <c r="AG30" i="90" s="1"/>
  <c r="AJ30" i="90" s="1"/>
  <c r="AY29" i="90" l="1"/>
  <c r="BD29" i="90"/>
  <c r="AT30" i="90"/>
  <c r="AH30" i="90"/>
  <c r="AI30" i="90" s="1"/>
  <c r="AK30" i="90" s="1"/>
  <c r="AD31" i="90"/>
  <c r="AE31" i="90" l="1"/>
  <c r="AS31" i="90"/>
  <c r="AF31" i="90"/>
  <c r="AG31" i="90" s="1"/>
  <c r="AJ31" i="90" s="1"/>
  <c r="AM30" i="90"/>
  <c r="AY30" i="90" l="1"/>
  <c r="BD30" i="90"/>
  <c r="AT31" i="90"/>
  <c r="AH31" i="90"/>
  <c r="AI31" i="90" s="1"/>
  <c r="AK31" i="90" s="1"/>
  <c r="AD32" i="90"/>
  <c r="AM31" i="90" l="1"/>
  <c r="AS32" i="90"/>
  <c r="AF32" i="90"/>
  <c r="AG32" i="90" s="1"/>
  <c r="AJ32" i="90" s="1"/>
  <c r="AE32" i="90"/>
  <c r="AY31" i="90" l="1"/>
  <c r="BD31" i="90"/>
  <c r="AT32" i="90"/>
  <c r="AH32" i="90"/>
  <c r="AI32" i="90" s="1"/>
  <c r="AD33" i="90"/>
  <c r="AK32" i="90" l="1"/>
  <c r="AM32" i="90" s="1"/>
  <c r="AS33" i="90"/>
  <c r="AF33" i="90"/>
  <c r="AG33" i="90" s="1"/>
  <c r="AJ33" i="90" s="1"/>
  <c r="AE33" i="90"/>
  <c r="AY32" i="90" l="1"/>
  <c r="BD32" i="90"/>
  <c r="AT33" i="90"/>
  <c r="AH33" i="90"/>
  <c r="AI33" i="90" s="1"/>
  <c r="AK33" i="90" s="1"/>
  <c r="AD34" i="90"/>
  <c r="AF34" i="90" l="1"/>
  <c r="AG34" i="90" s="1"/>
  <c r="AJ34" i="90" s="1"/>
  <c r="AE34" i="90"/>
  <c r="AS34" i="90"/>
  <c r="AM33" i="90"/>
  <c r="BD33" i="90" l="1"/>
  <c r="AY33" i="90"/>
  <c r="AH34" i="90"/>
  <c r="AI34" i="90" s="1"/>
  <c r="AT34" i="90"/>
  <c r="AD35" i="90"/>
  <c r="AK34" i="90" l="1"/>
  <c r="AM34" i="90" s="1"/>
  <c r="AS35" i="90"/>
  <c r="AF35" i="90"/>
  <c r="AG35" i="90" s="1"/>
  <c r="AJ35" i="90" s="1"/>
  <c r="AE35" i="90"/>
  <c r="AY34" i="90" l="1"/>
  <c r="BD34" i="90"/>
  <c r="AT35" i="90"/>
  <c r="AH35" i="90"/>
  <c r="AI35" i="90" s="1"/>
  <c r="AD36" i="90"/>
  <c r="AK35" i="90" l="1"/>
  <c r="AM35" i="90" s="1"/>
  <c r="AE36" i="90"/>
  <c r="AS36" i="90"/>
  <c r="AF36" i="90"/>
  <c r="AG36" i="90" s="1"/>
  <c r="AJ36" i="90" s="1"/>
  <c r="AY35" i="90" l="1"/>
  <c r="BD35" i="90"/>
  <c r="AD37" i="90"/>
  <c r="AT36" i="90"/>
  <c r="AH36" i="90"/>
  <c r="AI36" i="90" s="1"/>
  <c r="AK36" i="90" l="1"/>
  <c r="AM36" i="90" s="1"/>
  <c r="AE37" i="90"/>
  <c r="AS37" i="90"/>
  <c r="AF37" i="90"/>
  <c r="AG37" i="90" s="1"/>
  <c r="AJ37" i="90" s="1"/>
  <c r="AY36" i="90" l="1"/>
  <c r="BD36" i="90"/>
  <c r="AT37" i="90"/>
  <c r="AH37" i="90"/>
  <c r="AI37" i="90" s="1"/>
  <c r="AD38" i="90"/>
  <c r="AK37" i="90" l="1"/>
  <c r="AM37" i="90" s="1"/>
  <c r="AE38" i="90"/>
  <c r="AS38" i="90"/>
  <c r="AF38" i="90"/>
  <c r="AG38" i="90" s="1"/>
  <c r="AJ38" i="90" s="1"/>
  <c r="BD37" i="90" l="1"/>
  <c r="AY37" i="90"/>
  <c r="AT38" i="90"/>
  <c r="AH38" i="90"/>
  <c r="AI38" i="90" s="1"/>
  <c r="AK38" i="90" s="1"/>
  <c r="AD39" i="90"/>
  <c r="AM38" i="90" l="1"/>
  <c r="AF39" i="90"/>
  <c r="AG39" i="90" s="1"/>
  <c r="AJ39" i="90" s="1"/>
  <c r="AE39" i="90"/>
  <c r="AS39" i="90"/>
  <c r="BD38" i="90" l="1"/>
  <c r="AY38" i="90"/>
  <c r="AT39" i="90"/>
  <c r="AH39" i="90"/>
  <c r="AI39" i="90" s="1"/>
  <c r="AD40" i="90"/>
  <c r="AK39" i="90" l="1"/>
  <c r="AM39" i="90" s="1"/>
  <c r="AE40" i="90"/>
  <c r="AF40" i="90"/>
  <c r="AG40" i="90" s="1"/>
  <c r="AJ40" i="90" s="1"/>
  <c r="AS40" i="90"/>
  <c r="BD39" i="90" l="1"/>
  <c r="AY39" i="90"/>
  <c r="AT40" i="90"/>
  <c r="AH40" i="90"/>
  <c r="AI40" i="90" s="1"/>
  <c r="AD41" i="90"/>
  <c r="AK40" i="90" l="1"/>
  <c r="AM40" i="90" s="1"/>
  <c r="AE41" i="90"/>
  <c r="AS41" i="90"/>
  <c r="AF41" i="90"/>
  <c r="AG41" i="90" s="1"/>
  <c r="AJ41" i="90" s="1"/>
  <c r="BD40" i="90" l="1"/>
  <c r="AY40" i="90"/>
  <c r="AH41" i="90"/>
  <c r="AI41" i="90" s="1"/>
  <c r="AK41" i="90" s="1"/>
  <c r="AD42" i="90"/>
  <c r="AT41" i="90"/>
  <c r="AS42" i="90" l="1"/>
  <c r="AF42" i="90"/>
  <c r="AG42" i="90" s="1"/>
  <c r="AJ42" i="90" s="1"/>
  <c r="AE42" i="90"/>
  <c r="AM41" i="90"/>
  <c r="AY41" i="90" l="1"/>
  <c r="BD41" i="90"/>
  <c r="AT42" i="90"/>
  <c r="AH42" i="90"/>
  <c r="AI42" i="90" s="1"/>
  <c r="AK42" i="90" s="1"/>
  <c r="AD43" i="90"/>
  <c r="AE43" i="90" l="1"/>
  <c r="AS43" i="90"/>
  <c r="AF43" i="90"/>
  <c r="AG43" i="90" s="1"/>
  <c r="AJ43" i="90" s="1"/>
  <c r="AM42" i="90"/>
  <c r="AY42" i="90" l="1"/>
  <c r="BD42" i="90"/>
  <c r="AT43" i="90"/>
  <c r="AH43" i="90"/>
  <c r="AI43" i="90" s="1"/>
  <c r="AK43" i="90" s="1"/>
  <c r="AD44" i="90"/>
  <c r="AM43" i="90" l="1"/>
  <c r="AS44" i="90"/>
  <c r="AF44" i="90"/>
  <c r="AG44" i="90" s="1"/>
  <c r="AJ44" i="90" s="1"/>
  <c r="AE44" i="90"/>
  <c r="AY43" i="90" l="1"/>
  <c r="BD43" i="90"/>
  <c r="AT44" i="90"/>
  <c r="AH44" i="90"/>
  <c r="AD45" i="90"/>
  <c r="AI44" i="90"/>
  <c r="AK44" i="90" l="1"/>
  <c r="AM44" i="90" s="1"/>
  <c r="AE45" i="90"/>
  <c r="AF45" i="90"/>
  <c r="AG45" i="90" s="1"/>
  <c r="AJ45" i="90" s="1"/>
  <c r="AS45" i="90"/>
  <c r="BD44" i="90" l="1"/>
  <c r="AY44" i="90"/>
  <c r="AH45" i="90"/>
  <c r="AI45" i="90" s="1"/>
  <c r="AK45" i="90" s="1"/>
  <c r="AT45" i="90"/>
  <c r="AD46" i="90"/>
  <c r="AE46" i="90" l="1"/>
  <c r="AF46" i="90"/>
  <c r="AG46" i="90" s="1"/>
  <c r="AJ46" i="90" s="1"/>
  <c r="AS46" i="90"/>
  <c r="AM45" i="90"/>
  <c r="BD45" i="90" l="1"/>
  <c r="AY45" i="90"/>
  <c r="AT46" i="90"/>
  <c r="AH46" i="90"/>
  <c r="AD47" i="90"/>
  <c r="AS47" i="90" l="1"/>
  <c r="AF47" i="90"/>
  <c r="AG47" i="90" s="1"/>
  <c r="AJ47" i="90" s="1"/>
  <c r="AE47" i="90"/>
  <c r="AI46" i="90"/>
  <c r="AK46" i="90" l="1"/>
  <c r="AM46" i="90" s="1"/>
  <c r="AT47" i="90"/>
  <c r="AD48" i="90"/>
  <c r="AH47" i="90"/>
  <c r="AI47" i="90" s="1"/>
  <c r="BD46" i="90" l="1"/>
  <c r="AY46" i="90"/>
  <c r="AK47" i="90"/>
  <c r="AM47" i="90" s="1"/>
  <c r="AE48" i="90"/>
  <c r="AS48" i="90"/>
  <c r="AF48" i="90"/>
  <c r="BD47" i="90" l="1"/>
  <c r="AY47" i="90"/>
  <c r="AG48" i="90"/>
  <c r="AJ48" i="90" s="1"/>
  <c r="AD49" i="90"/>
  <c r="AH48" i="90"/>
  <c r="AI48" i="90" s="1"/>
  <c r="AK48" i="90" s="1"/>
  <c r="AT48" i="90"/>
  <c r="AM48" i="90" l="1"/>
  <c r="AS49" i="90"/>
  <c r="AE49" i="90"/>
  <c r="AF49" i="90"/>
  <c r="AG49" i="90" s="1"/>
  <c r="AJ49" i="90" s="1"/>
  <c r="BD48" i="90" l="1"/>
  <c r="AY48" i="90"/>
  <c r="AH49" i="90"/>
  <c r="AI49" i="90" s="1"/>
  <c r="AT49" i="90"/>
  <c r="AD50" i="90"/>
  <c r="AK49" i="90" l="1"/>
  <c r="AM49" i="90" s="1"/>
  <c r="AE50" i="90"/>
  <c r="AF50" i="90"/>
  <c r="AG50" i="90" s="1"/>
  <c r="AJ50" i="90" s="1"/>
  <c r="AS50" i="90"/>
  <c r="BD49" i="90" l="1"/>
  <c r="AY49" i="90"/>
  <c r="AT50" i="90"/>
  <c r="AH50" i="90"/>
  <c r="AI50" i="90" s="1"/>
  <c r="AD51" i="90"/>
  <c r="AK50" i="90" l="1"/>
  <c r="AM50" i="90" s="1"/>
  <c r="AE51" i="90"/>
  <c r="AF51" i="90"/>
  <c r="AG51" i="90" s="1"/>
  <c r="AJ51" i="90" s="1"/>
  <c r="AS51" i="90"/>
  <c r="BD50" i="90" l="1"/>
  <c r="AY50" i="90"/>
  <c r="AT51" i="90"/>
  <c r="AH51" i="90"/>
  <c r="AI51" i="90" s="1"/>
  <c r="AD52" i="90"/>
  <c r="AK51" i="90" l="1"/>
  <c r="AM51" i="90" s="1"/>
  <c r="AS52" i="90"/>
  <c r="AF52" i="90"/>
  <c r="AG52" i="90" s="1"/>
  <c r="AJ52" i="90" s="1"/>
  <c r="AE52" i="90"/>
  <c r="BD51" i="90" l="1"/>
  <c r="AY51" i="90"/>
  <c r="AT52" i="90"/>
  <c r="AH52" i="90"/>
  <c r="AI52" i="90" s="1"/>
  <c r="AK52" i="90" s="1"/>
  <c r="AD53" i="90"/>
  <c r="AM52" i="90" l="1"/>
  <c r="AE53" i="90"/>
  <c r="AF53" i="90"/>
  <c r="AG53" i="90" s="1"/>
  <c r="AJ53" i="90" s="1"/>
  <c r="AS53" i="90"/>
  <c r="BD52" i="90" l="1"/>
  <c r="AY52" i="90"/>
  <c r="AH53" i="90"/>
  <c r="AI53" i="90" s="1"/>
  <c r="AK53" i="90" s="1"/>
  <c r="AD54" i="90"/>
  <c r="AT53" i="90"/>
  <c r="AM53" i="90" l="1"/>
  <c r="AF54" i="90"/>
  <c r="AG54" i="90" s="1"/>
  <c r="AJ54" i="90" s="1"/>
  <c r="AE54" i="90"/>
  <c r="AS54" i="90"/>
  <c r="AY53" i="90" l="1"/>
  <c r="BD53" i="90"/>
  <c r="AT54" i="90"/>
  <c r="AH54" i="90"/>
  <c r="AI54" i="90" s="1"/>
  <c r="AK54" i="90" s="1"/>
  <c r="AD55" i="90"/>
  <c r="AE55" i="90" l="1"/>
  <c r="AS55" i="90"/>
  <c r="AF55" i="90"/>
  <c r="AG55" i="90" s="1"/>
  <c r="AJ55" i="90" s="1"/>
  <c r="AM54" i="90"/>
  <c r="AY54" i="90" l="1"/>
  <c r="BD54" i="90"/>
  <c r="AT55" i="90"/>
  <c r="AH55" i="90"/>
  <c r="AI55" i="90" s="1"/>
  <c r="AK55" i="90" s="1"/>
  <c r="AD56" i="90"/>
  <c r="AE56" i="90" l="1"/>
  <c r="AF56" i="90"/>
  <c r="AS56" i="90"/>
  <c r="AM55" i="90"/>
  <c r="AY55" i="90" l="1"/>
  <c r="BD55" i="90"/>
  <c r="AG56" i="90"/>
  <c r="AJ56" i="90" s="1"/>
  <c r="AT56" i="90"/>
  <c r="AH56" i="90"/>
  <c r="AI56" i="90" s="1"/>
  <c r="AK56" i="90" s="1"/>
  <c r="AD57" i="90"/>
  <c r="AM56" i="90" l="1"/>
  <c r="AE57" i="90"/>
  <c r="AS57" i="90"/>
  <c r="AF57" i="90"/>
  <c r="AG57" i="90" s="1"/>
  <c r="AJ57" i="90" s="1"/>
  <c r="BD56" i="90" l="1"/>
  <c r="AY56" i="90"/>
  <c r="AT57" i="90"/>
  <c r="AH57" i="90"/>
  <c r="AD58" i="90"/>
  <c r="AS58" i="90" l="1"/>
  <c r="AE58" i="90"/>
  <c r="AF58" i="90"/>
  <c r="AG58" i="90" s="1"/>
  <c r="AJ58" i="90" s="1"/>
  <c r="AI57" i="90"/>
  <c r="AK57" i="90" l="1"/>
  <c r="AM57" i="90" s="1"/>
  <c r="AH58" i="90"/>
  <c r="AI58" i="90" s="1"/>
  <c r="AK58" i="90" s="1"/>
  <c r="AD59" i="90"/>
  <c r="AT58" i="90"/>
  <c r="AY57" i="90" l="1"/>
  <c r="BD57" i="90"/>
  <c r="AM58" i="90"/>
  <c r="AF59" i="90"/>
  <c r="AE59" i="90"/>
  <c r="AS59" i="90"/>
  <c r="AG59" i="90"/>
  <c r="AJ59" i="90" s="1"/>
  <c r="BD58" i="90" l="1"/>
  <c r="AY58" i="90"/>
  <c r="AH59" i="90"/>
  <c r="AI59" i="90" s="1"/>
  <c r="AK59" i="90" s="1"/>
  <c r="AD60" i="90"/>
  <c r="AT59" i="90"/>
  <c r="AM59" i="90" l="1"/>
  <c r="AE60" i="90"/>
  <c r="AF60" i="90"/>
  <c r="AG60" i="90" s="1"/>
  <c r="AJ60" i="90" s="1"/>
  <c r="AS60" i="90"/>
  <c r="BD59" i="90" l="1"/>
  <c r="AY59" i="90"/>
  <c r="AH60" i="90"/>
  <c r="AI60" i="90" s="1"/>
  <c r="AD61" i="90"/>
  <c r="AT60" i="90"/>
  <c r="AK60" i="90" l="1"/>
  <c r="AM60" i="90" s="1"/>
  <c r="AS61" i="90"/>
  <c r="AF61" i="90"/>
  <c r="AG61" i="90" s="1"/>
  <c r="AJ61" i="90" s="1"/>
  <c r="AE61" i="90"/>
  <c r="BD60" i="90" l="1"/>
  <c r="AY60" i="90"/>
  <c r="AT61" i="90"/>
  <c r="AH61" i="90"/>
  <c r="AI61" i="90" s="1"/>
  <c r="AK61" i="90" s="1"/>
  <c r="AD62" i="90"/>
  <c r="AE62" i="90" l="1"/>
  <c r="AS62" i="90"/>
  <c r="AF62" i="90"/>
  <c r="AM61" i="90"/>
  <c r="BD61" i="90" l="1"/>
  <c r="AY61" i="90"/>
  <c r="AG62" i="90"/>
  <c r="AJ62" i="90" s="1"/>
  <c r="AH62" i="90"/>
  <c r="AI62" i="90" s="1"/>
  <c r="AK62" i="90" s="1"/>
  <c r="AT62" i="90"/>
  <c r="AD63" i="90"/>
  <c r="AM62" i="90" l="1"/>
  <c r="AE63" i="90"/>
  <c r="AS63" i="90"/>
  <c r="AF63" i="90"/>
  <c r="BD62" i="90" l="1"/>
  <c r="AY62" i="90"/>
  <c r="AH63" i="90"/>
  <c r="AD64" i="90"/>
  <c r="AT63" i="90"/>
  <c r="AI63" i="90"/>
  <c r="AK63" i="90" s="1"/>
  <c r="AG63" i="90"/>
  <c r="AJ63" i="90" s="1"/>
  <c r="AM63" i="90" l="1"/>
  <c r="AE64" i="90"/>
  <c r="AS64" i="90"/>
  <c r="AF64" i="90"/>
  <c r="AG64" i="90" s="1"/>
  <c r="AJ64" i="90" s="1"/>
  <c r="BD63" i="90" l="1"/>
  <c r="AY63" i="90"/>
  <c r="AT64" i="90"/>
  <c r="AH64" i="90"/>
  <c r="AI64" i="90" s="1"/>
  <c r="AK64" i="90" s="1"/>
  <c r="AD65" i="90"/>
  <c r="AF65" i="90" l="1"/>
  <c r="AG65" i="90"/>
  <c r="AJ65" i="90" s="1"/>
  <c r="AE65" i="90"/>
  <c r="AS65" i="90"/>
  <c r="AM64" i="90"/>
  <c r="BD64" i="90" l="1"/>
  <c r="AY64" i="90"/>
  <c r="AD66" i="90"/>
  <c r="AH65" i="90"/>
  <c r="AI65" i="90" s="1"/>
  <c r="AK65" i="90" s="1"/>
  <c r="AT65" i="90"/>
  <c r="AM65" i="90" l="1"/>
  <c r="AF66" i="90"/>
  <c r="AE66" i="90"/>
  <c r="AS66" i="90"/>
  <c r="AG66" i="90"/>
  <c r="AJ66" i="90" s="1"/>
  <c r="AY65" i="90" l="1"/>
  <c r="BD65" i="90"/>
  <c r="AT66" i="90"/>
  <c r="AD67" i="90"/>
  <c r="AH66" i="90"/>
  <c r="AI66" i="90" s="1"/>
  <c r="AK66" i="90" l="1"/>
  <c r="AM66" i="90" s="1"/>
  <c r="AE67" i="90"/>
  <c r="AS67" i="90"/>
  <c r="AF67" i="90"/>
  <c r="AG67" i="90" s="1"/>
  <c r="AJ67" i="90" s="1"/>
  <c r="AY66" i="90" l="1"/>
  <c r="BD66" i="90"/>
  <c r="AH67" i="90"/>
  <c r="AI67" i="90" s="1"/>
  <c r="AK67" i="90" s="1"/>
  <c r="AT67" i="90"/>
  <c r="AD68" i="90"/>
  <c r="AM67" i="90" l="1"/>
  <c r="AE68" i="90"/>
  <c r="AS68" i="90"/>
  <c r="AF68" i="90"/>
  <c r="AY67" i="90" l="1"/>
  <c r="BD67" i="90"/>
  <c r="AG68" i="90"/>
  <c r="AJ68" i="90" s="1"/>
  <c r="AH68" i="90"/>
  <c r="AI68" i="90" s="1"/>
  <c r="AK68" i="90" s="1"/>
  <c r="AT68" i="90"/>
  <c r="AD69" i="90"/>
  <c r="AM68" i="90" l="1"/>
  <c r="AE69" i="90"/>
  <c r="AF69" i="90"/>
  <c r="AG69" i="90" s="1"/>
  <c r="AJ69" i="90" s="1"/>
  <c r="AS69" i="90"/>
  <c r="AY68" i="90" l="1"/>
  <c r="BD68" i="90"/>
  <c r="AH69" i="90"/>
  <c r="AI69" i="90" s="1"/>
  <c r="AK69" i="90" s="1"/>
  <c r="AD70" i="90"/>
  <c r="AT69" i="90"/>
  <c r="AE70" i="90" l="1"/>
  <c r="AS70" i="90"/>
  <c r="AF70" i="90"/>
  <c r="AG70" i="90" s="1"/>
  <c r="AJ70" i="90" s="1"/>
  <c r="AM69" i="90"/>
  <c r="BD69" i="90" l="1"/>
  <c r="AY69" i="90"/>
  <c r="AT70" i="90"/>
  <c r="AD71" i="90"/>
  <c r="AH70" i="90"/>
  <c r="AI70" i="90" s="1"/>
  <c r="AK70" i="90" l="1"/>
  <c r="AM70" i="90" s="1"/>
  <c r="AF71" i="90"/>
  <c r="AG71" i="90" s="1"/>
  <c r="AJ71" i="90" s="1"/>
  <c r="AE71" i="90"/>
  <c r="AS71" i="90"/>
  <c r="AY70" i="90" l="1"/>
  <c r="BD70" i="90"/>
  <c r="AT71" i="90"/>
  <c r="AH71" i="90"/>
  <c r="AI71" i="90" s="1"/>
  <c r="AD72" i="90"/>
  <c r="AK71" i="90" l="1"/>
  <c r="AM71" i="90" s="1"/>
  <c r="AE72" i="90"/>
  <c r="AF72" i="90"/>
  <c r="AG72" i="90" s="1"/>
  <c r="AJ72" i="90" s="1"/>
  <c r="AS72" i="90"/>
  <c r="AY71" i="90" l="1"/>
  <c r="BD71" i="90"/>
  <c r="AT72" i="90"/>
  <c r="AD73" i="90"/>
  <c r="AH72" i="90"/>
  <c r="AI72" i="90" l="1"/>
  <c r="AE73" i="90"/>
  <c r="AF73" i="90"/>
  <c r="AG73" i="90" s="1"/>
  <c r="AJ73" i="90" s="1"/>
  <c r="AS73" i="90"/>
  <c r="AK72" i="90" l="1"/>
  <c r="AM72" i="90" s="1"/>
  <c r="AH73" i="90"/>
  <c r="AI73" i="90" s="1"/>
  <c r="AK73" i="90" s="1"/>
  <c r="AD74" i="90"/>
  <c r="AT73" i="90"/>
  <c r="AY72" i="90" l="1"/>
  <c r="BD72" i="90"/>
  <c r="AF74" i="90"/>
  <c r="AG74" i="90" s="1"/>
  <c r="AJ74" i="90" s="1"/>
  <c r="AE74" i="90"/>
  <c r="AS74" i="90"/>
  <c r="AM73" i="90"/>
  <c r="BD73" i="90" l="1"/>
  <c r="AY73" i="90"/>
  <c r="AT74" i="90"/>
  <c r="AD75" i="90"/>
  <c r="AH74" i="90"/>
  <c r="AI74" i="90" s="1"/>
  <c r="AK74" i="90" l="1"/>
  <c r="AM74" i="90" s="1"/>
  <c r="AE75" i="90"/>
  <c r="AF75" i="90"/>
  <c r="AG75" i="90" s="1"/>
  <c r="AJ75" i="90" s="1"/>
  <c r="AS75" i="90"/>
  <c r="BD74" i="90" l="1"/>
  <c r="AY74" i="90"/>
  <c r="AD76" i="90"/>
  <c r="AT75" i="90"/>
  <c r="AH75" i="90"/>
  <c r="AI75" i="90" s="1"/>
  <c r="AK75" i="90" s="1"/>
  <c r="AE76" i="90" l="1"/>
  <c r="AF76" i="90"/>
  <c r="AG76" i="90" s="1"/>
  <c r="AJ76" i="90" s="1"/>
  <c r="AS76" i="90"/>
  <c r="AM75" i="90"/>
  <c r="BD75" i="90" l="1"/>
  <c r="AY75" i="90"/>
  <c r="AT76" i="90"/>
  <c r="AH76" i="90"/>
  <c r="AI76" i="90" s="1"/>
  <c r="AD77" i="90"/>
  <c r="AK76" i="90" l="1"/>
  <c r="AM76" i="90" s="1"/>
  <c r="AS77" i="90"/>
  <c r="AE77" i="90"/>
  <c r="AF77" i="90"/>
  <c r="AG77" i="90" s="1"/>
  <c r="AJ77" i="90" s="1"/>
  <c r="BD76" i="90" l="1"/>
  <c r="AY76" i="90"/>
  <c r="AH77" i="90"/>
  <c r="AI77" i="90" s="1"/>
  <c r="AK77" i="90" s="1"/>
  <c r="AD78" i="90"/>
  <c r="AT77" i="90"/>
  <c r="AM77" i="90" l="1"/>
  <c r="AS78" i="90"/>
  <c r="AE78" i="90"/>
  <c r="AF78" i="90"/>
  <c r="AG78" i="90" s="1"/>
  <c r="AJ78" i="90" s="1"/>
  <c r="BD77" i="90" l="1"/>
  <c r="AY77" i="90"/>
  <c r="AT78" i="90"/>
  <c r="AH78" i="90"/>
  <c r="AD79" i="90"/>
  <c r="AE79" i="90" l="1"/>
  <c r="AS79" i="90"/>
  <c r="AF79" i="90"/>
  <c r="AI78" i="90"/>
  <c r="AK78" i="90" l="1"/>
  <c r="AM78" i="90" s="1"/>
  <c r="AT79" i="90"/>
  <c r="AD80" i="90"/>
  <c r="AH79" i="90"/>
  <c r="AI79" i="90" s="1"/>
  <c r="AK79" i="90" s="1"/>
  <c r="AG79" i="90"/>
  <c r="AJ79" i="90" s="1"/>
  <c r="BD78" i="90" l="1"/>
  <c r="AY78" i="90"/>
  <c r="AM79" i="90"/>
  <c r="AE80" i="90"/>
  <c r="AF80" i="90"/>
  <c r="AG80" i="90" s="1"/>
  <c r="AJ80" i="90" s="1"/>
  <c r="AS80" i="90"/>
  <c r="BD79" i="90" l="1"/>
  <c r="AY79" i="90"/>
  <c r="AT80" i="90"/>
  <c r="AH80" i="90"/>
  <c r="AI80" i="90" s="1"/>
  <c r="AD81" i="90"/>
  <c r="AK80" i="90" l="1"/>
  <c r="AM80" i="90" s="1"/>
  <c r="AS81" i="90"/>
  <c r="AE81" i="90"/>
  <c r="AF81" i="90"/>
  <c r="AG81" i="90" s="1"/>
  <c r="AJ81" i="90" s="1"/>
  <c r="BD80" i="90" l="1"/>
  <c r="AY80" i="90"/>
  <c r="AT81" i="90"/>
  <c r="AD82" i="90"/>
  <c r="AH81" i="90"/>
  <c r="AS82" i="90" l="1"/>
  <c r="AF82" i="90"/>
  <c r="AG82" i="90" s="1"/>
  <c r="AJ82" i="90" s="1"/>
  <c r="AE82" i="90"/>
  <c r="AI81" i="90"/>
  <c r="AK81" i="90" l="1"/>
  <c r="AM81" i="90" s="1"/>
  <c r="AH82" i="90"/>
  <c r="AI82" i="90" s="1"/>
  <c r="AT82" i="90"/>
  <c r="AD83" i="90"/>
  <c r="AY81" i="90" l="1"/>
  <c r="BD81" i="90"/>
  <c r="AK82" i="90"/>
  <c r="AM82" i="90" s="1"/>
  <c r="AF83" i="90"/>
  <c r="AG83" i="90" s="1"/>
  <c r="AJ83" i="90" s="1"/>
  <c r="AS83" i="90"/>
  <c r="AE83" i="90"/>
  <c r="AY82" i="90" l="1"/>
  <c r="BD82" i="90"/>
  <c r="AT83" i="90"/>
  <c r="AH83" i="90"/>
  <c r="AD84" i="90"/>
  <c r="AE84" i="90" l="1"/>
  <c r="AF84" i="90"/>
  <c r="AG84" i="90" s="1"/>
  <c r="AJ84" i="90" s="1"/>
  <c r="AS84" i="90"/>
  <c r="AI83" i="90"/>
  <c r="AK83" i="90" l="1"/>
  <c r="AM83" i="90" s="1"/>
  <c r="AH84" i="90"/>
  <c r="AI84" i="90" s="1"/>
  <c r="AT84" i="90"/>
  <c r="AD85" i="90"/>
  <c r="AY83" i="90" l="1"/>
  <c r="BD83" i="90"/>
  <c r="AK84" i="90"/>
  <c r="AM84" i="90" s="1"/>
  <c r="AS85" i="90"/>
  <c r="AE85" i="90"/>
  <c r="AF85" i="90"/>
  <c r="AG85" i="90" s="1"/>
  <c r="AJ85" i="90" s="1"/>
  <c r="BD84" i="90" l="1"/>
  <c r="AY84" i="90"/>
  <c r="AH85" i="90"/>
  <c r="AI85" i="90" s="1"/>
  <c r="AD86" i="90"/>
  <c r="AT85" i="90"/>
  <c r="AK85" i="90" l="1"/>
  <c r="AM85" i="90" s="1"/>
  <c r="AS86" i="90"/>
  <c r="AE86" i="90"/>
  <c r="AF86" i="90"/>
  <c r="BD85" i="90" l="1"/>
  <c r="AY85" i="90"/>
  <c r="AH86" i="90"/>
  <c r="AI86" i="90" s="1"/>
  <c r="AK86" i="90" s="1"/>
  <c r="AT86" i="90"/>
  <c r="AD87" i="90"/>
  <c r="AG86" i="90"/>
  <c r="AJ86" i="90" l="1"/>
  <c r="AM86" i="90" s="1"/>
  <c r="AE87" i="90"/>
  <c r="AF87" i="90"/>
  <c r="AG87" i="90" s="1"/>
  <c r="AJ87" i="90" s="1"/>
  <c r="AS87" i="90"/>
  <c r="BD86" i="90" l="1"/>
  <c r="AY86" i="90"/>
  <c r="AD88" i="90"/>
  <c r="AT87" i="90"/>
  <c r="AH87" i="90"/>
  <c r="AI87" i="90" s="1"/>
  <c r="AK87" i="90" l="1"/>
  <c r="AM87" i="90" s="1"/>
  <c r="AS88" i="90"/>
  <c r="AE88" i="90"/>
  <c r="AF88" i="90"/>
  <c r="AG88" i="90" s="1"/>
  <c r="AJ88" i="90" s="1"/>
  <c r="BD87" i="90" l="1"/>
  <c r="AY87" i="90"/>
  <c r="AT88" i="90"/>
  <c r="AH88" i="90"/>
  <c r="AI88" i="90" s="1"/>
  <c r="AD89" i="90"/>
  <c r="AK88" i="90" l="1"/>
  <c r="AM88" i="90" s="1"/>
  <c r="AS89" i="90"/>
  <c r="AE89" i="90"/>
  <c r="AF89" i="90"/>
  <c r="AG89" i="90" s="1"/>
  <c r="AJ89" i="90" s="1"/>
  <c r="AY88" i="90" l="1"/>
  <c r="BD88" i="90"/>
  <c r="AH89" i="90"/>
  <c r="AD90" i="90"/>
  <c r="AT89" i="90"/>
  <c r="AI89" i="90"/>
  <c r="AK89" i="90" s="1"/>
  <c r="AE90" i="90" l="1"/>
  <c r="AS90" i="90"/>
  <c r="AF90" i="90"/>
  <c r="AG90" i="90" s="1"/>
  <c r="AJ90" i="90" s="1"/>
  <c r="AM89" i="90"/>
  <c r="BD89" i="90" l="1"/>
  <c r="AY89" i="90"/>
  <c r="AH90" i="90"/>
  <c r="AT90" i="90"/>
  <c r="AD91" i="90"/>
  <c r="AI90" i="90" l="1"/>
  <c r="AE91" i="90"/>
  <c r="AF91" i="90"/>
  <c r="AG91" i="90" s="1"/>
  <c r="AJ91" i="90" s="1"/>
  <c r="AS91" i="90"/>
  <c r="AK90" i="90" l="1"/>
  <c r="AM90" i="90" s="1"/>
  <c r="AT91" i="90"/>
  <c r="AD92" i="90"/>
  <c r="AH91" i="90"/>
  <c r="BD90" i="90" l="1"/>
  <c r="AY90" i="90"/>
  <c r="AF92" i="90"/>
  <c r="AG92" i="90" s="1"/>
  <c r="AJ92" i="90" s="1"/>
  <c r="AE92" i="90"/>
  <c r="AS92" i="90"/>
  <c r="AI91" i="90"/>
  <c r="AK91" i="90" l="1"/>
  <c r="AM91" i="90" s="1"/>
  <c r="AD93" i="90"/>
  <c r="AH92" i="90"/>
  <c r="AI92" i="90" s="1"/>
  <c r="AT92" i="90"/>
  <c r="AY91" i="90" l="1"/>
  <c r="BD91" i="90"/>
  <c r="AK92" i="90"/>
  <c r="AM92" i="90" s="1"/>
  <c r="AE93" i="90"/>
  <c r="AF93" i="90"/>
  <c r="AG93" i="90" s="1"/>
  <c r="AJ93" i="90" s="1"/>
  <c r="AS93" i="90"/>
  <c r="AY92" i="90" l="1"/>
  <c r="BD92" i="90"/>
  <c r="AT93" i="90"/>
  <c r="AH93" i="90"/>
  <c r="AI93" i="90" s="1"/>
  <c r="AK93" i="90" s="1"/>
  <c r="AD94" i="90"/>
  <c r="AS94" i="90" l="1"/>
  <c r="AF94" i="90"/>
  <c r="AG94" i="90" s="1"/>
  <c r="AJ94" i="90" s="1"/>
  <c r="AE94" i="90"/>
  <c r="AM93" i="90"/>
  <c r="AY93" i="90" l="1"/>
  <c r="BD93" i="90"/>
  <c r="AH94" i="90"/>
  <c r="AI94" i="90" s="1"/>
  <c r="AK94" i="90" s="1"/>
  <c r="AD95" i="90"/>
  <c r="AT94" i="90"/>
  <c r="AF95" i="90" l="1"/>
  <c r="AG95" i="90" s="1"/>
  <c r="AJ95" i="90" s="1"/>
  <c r="AE95" i="90"/>
  <c r="AS95" i="90"/>
  <c r="AM94" i="90"/>
  <c r="AY94" i="90" l="1"/>
  <c r="BD94" i="90"/>
  <c r="AH95" i="90"/>
  <c r="AI95" i="90" s="1"/>
  <c r="AT95" i="90"/>
  <c r="AD96" i="90"/>
  <c r="AK95" i="90" l="1"/>
  <c r="AM95" i="90" s="1"/>
  <c r="AE96" i="90"/>
  <c r="AS96" i="90"/>
  <c r="AF96" i="90"/>
  <c r="AG96" i="90" s="1"/>
  <c r="AJ96" i="90" s="1"/>
  <c r="AY95" i="90" l="1"/>
  <c r="BD95" i="90"/>
  <c r="AH96" i="90"/>
  <c r="AI96" i="90" s="1"/>
  <c r="AK96" i="90" s="1"/>
  <c r="AD97" i="90"/>
  <c r="AT96" i="90"/>
  <c r="AE97" i="90" l="1"/>
  <c r="AF97" i="90"/>
  <c r="AG97" i="90" s="1"/>
  <c r="AJ97" i="90" s="1"/>
  <c r="AS97" i="90"/>
  <c r="AM96" i="90"/>
  <c r="AY96" i="90" l="1"/>
  <c r="BD96" i="90"/>
  <c r="AH97" i="90"/>
  <c r="AI97" i="90" s="1"/>
  <c r="AD98" i="90"/>
  <c r="AT97" i="90"/>
  <c r="AK97" i="90" l="1"/>
  <c r="AM97" i="90" s="1"/>
  <c r="AF98" i="90"/>
  <c r="AG98" i="90" s="1"/>
  <c r="AJ98" i="90" s="1"/>
  <c r="AE98" i="90"/>
  <c r="AS98" i="90"/>
  <c r="BD97" i="90" l="1"/>
  <c r="AY97" i="90"/>
  <c r="AH98" i="90"/>
  <c r="AI98" i="90" s="1"/>
  <c r="AK98" i="90" s="1"/>
  <c r="AT98" i="90"/>
  <c r="AD99" i="90"/>
  <c r="AF99" i="90" l="1"/>
  <c r="AE99" i="90"/>
  <c r="AS99" i="90"/>
  <c r="AG99" i="90"/>
  <c r="AJ99" i="90" s="1"/>
  <c r="AM98" i="90"/>
  <c r="BD98" i="90" l="1"/>
  <c r="AY98" i="90"/>
  <c r="AT99" i="90"/>
  <c r="AD100" i="90"/>
  <c r="AH99" i="90"/>
  <c r="AI99" i="90" s="1"/>
  <c r="AK99" i="90" l="1"/>
  <c r="AM99" i="90" s="1"/>
  <c r="AE100" i="90"/>
  <c r="AS100" i="90"/>
  <c r="AF100" i="90"/>
  <c r="AG100" i="90" s="1"/>
  <c r="AJ100" i="90" s="1"/>
  <c r="BD99" i="90" l="1"/>
  <c r="AY99" i="90"/>
  <c r="AT100" i="90"/>
  <c r="AH100" i="90"/>
  <c r="AI100" i="90" s="1"/>
  <c r="AD101" i="90"/>
  <c r="AK100" i="90" l="1"/>
  <c r="AM100" i="90" s="1"/>
  <c r="AS101" i="90"/>
  <c r="AF101" i="90"/>
  <c r="AG101" i="90" s="1"/>
  <c r="AJ101" i="90" s="1"/>
  <c r="AE101" i="90"/>
  <c r="AY100" i="90" l="1"/>
  <c r="BD100" i="90"/>
  <c r="AT101" i="90"/>
  <c r="AH101" i="90"/>
  <c r="AI101" i="90" s="1"/>
  <c r="AD102" i="90"/>
  <c r="AK101" i="90" l="1"/>
  <c r="AM101" i="90" s="1"/>
  <c r="AE102" i="90"/>
  <c r="AS102" i="90"/>
  <c r="AF102" i="90"/>
  <c r="BD101" i="90" l="1"/>
  <c r="AY101" i="90"/>
  <c r="AH102" i="90"/>
  <c r="AI102" i="90" s="1"/>
  <c r="AK102" i="90" s="1"/>
  <c r="AD103" i="90"/>
  <c r="AT102" i="90"/>
  <c r="AG102" i="90"/>
  <c r="AJ102" i="90" s="1"/>
  <c r="AM102" i="90" l="1"/>
  <c r="AE103" i="90"/>
  <c r="AF103" i="90"/>
  <c r="AG103" i="90" s="1"/>
  <c r="AJ103" i="90" s="1"/>
  <c r="AS103" i="90"/>
  <c r="BD102" i="90" l="1"/>
  <c r="AY102" i="90"/>
  <c r="AT103" i="90"/>
  <c r="AD104" i="90"/>
  <c r="AH103" i="90"/>
  <c r="AI103" i="90" s="1"/>
  <c r="AK103" i="90" s="1"/>
  <c r="AE104" i="90" l="1"/>
  <c r="AS104" i="90"/>
  <c r="AF104" i="90"/>
  <c r="AG104" i="90" s="1"/>
  <c r="AJ104" i="90" s="1"/>
  <c r="AM103" i="90"/>
  <c r="BD103" i="90" l="1"/>
  <c r="AY103" i="90"/>
  <c r="AT104" i="90"/>
  <c r="AH104" i="90"/>
  <c r="AI104" i="90" s="1"/>
  <c r="AD105" i="90"/>
  <c r="AK104" i="90" l="1"/>
  <c r="AM104" i="90" s="1"/>
  <c r="AS105" i="90"/>
  <c r="AE105" i="90"/>
  <c r="AF105" i="90"/>
  <c r="AG105" i="90" s="1"/>
  <c r="AJ105" i="90" s="1"/>
  <c r="AY104" i="90" l="1"/>
  <c r="BD104" i="90"/>
  <c r="AT105" i="90"/>
  <c r="AD106" i="90"/>
  <c r="AH105" i="90"/>
  <c r="AI105" i="90" s="1"/>
  <c r="AK105" i="90" l="1"/>
  <c r="AM105" i="90" s="1"/>
  <c r="AS106" i="90"/>
  <c r="AF106" i="90"/>
  <c r="AG106" i="90" s="1"/>
  <c r="AJ106" i="90" s="1"/>
  <c r="AE106" i="90"/>
  <c r="BD105" i="90" l="1"/>
  <c r="AY105" i="90"/>
  <c r="AT106" i="90"/>
  <c r="AH106" i="90"/>
  <c r="AI106" i="90" s="1"/>
  <c r="AK106" i="90" s="1"/>
  <c r="AD107" i="90"/>
  <c r="AF107" i="90" l="1"/>
  <c r="AG107" i="90" s="1"/>
  <c r="AJ107" i="90" s="1"/>
  <c r="AE107" i="90"/>
  <c r="AS107" i="90"/>
  <c r="AM106" i="90"/>
  <c r="AY106" i="90" l="1"/>
  <c r="BD106" i="90"/>
  <c r="AH107" i="90"/>
  <c r="AI107" i="90" s="1"/>
  <c r="AT107" i="90"/>
  <c r="AD108" i="90"/>
  <c r="AK107" i="90" l="1"/>
  <c r="AM107" i="90" s="1"/>
  <c r="AE108" i="90"/>
  <c r="AS108" i="90"/>
  <c r="AF108" i="90"/>
  <c r="AG108" i="90" s="1"/>
  <c r="AJ108" i="90" s="1"/>
  <c r="BD107" i="90" l="1"/>
  <c r="AY107" i="90"/>
  <c r="AH108" i="90"/>
  <c r="AI108" i="90" s="1"/>
  <c r="AK108" i="90" s="1"/>
  <c r="AD109" i="90"/>
  <c r="AT108" i="90"/>
  <c r="AM108" i="90" l="1"/>
  <c r="AS109" i="90"/>
  <c r="AF109" i="90"/>
  <c r="AG109" i="90" s="1"/>
  <c r="AJ109" i="90" s="1"/>
  <c r="AE109" i="90"/>
  <c r="AY108" i="90" l="1"/>
  <c r="BD108" i="90"/>
  <c r="AD110" i="90"/>
  <c r="AH109" i="90"/>
  <c r="AI109" i="90" s="1"/>
  <c r="AT109" i="90"/>
  <c r="AK109" i="90" l="1"/>
  <c r="AM109" i="90" s="1"/>
  <c r="AE110" i="90"/>
  <c r="AF110" i="90"/>
  <c r="AG110" i="90" s="1"/>
  <c r="AJ110" i="90" s="1"/>
  <c r="AS110" i="90"/>
  <c r="BD109" i="90" l="1"/>
  <c r="AY109" i="90"/>
  <c r="AD111" i="90"/>
  <c r="AH110" i="90"/>
  <c r="AI110" i="90" s="1"/>
  <c r="AT110" i="90"/>
  <c r="AK110" i="90" l="1"/>
  <c r="AM110" i="90" s="1"/>
  <c r="AE111" i="90"/>
  <c r="AS111" i="90"/>
  <c r="AF111" i="90"/>
  <c r="AG111" i="90" s="1"/>
  <c r="AJ111" i="90" s="1"/>
  <c r="BD110" i="90" l="1"/>
  <c r="AY110" i="90"/>
  <c r="AH111" i="90"/>
  <c r="AI111" i="90" s="1"/>
  <c r="AD112" i="90"/>
  <c r="AT111" i="90"/>
  <c r="AK111" i="90" l="1"/>
  <c r="AM111" i="90" s="1"/>
  <c r="AE112" i="90"/>
  <c r="AS112" i="90"/>
  <c r="AF112" i="90"/>
  <c r="AG112" i="90" s="1"/>
  <c r="AJ112" i="90" s="1"/>
  <c r="AY111" i="90" l="1"/>
  <c r="BD111" i="90"/>
  <c r="AT112" i="90"/>
  <c r="AH112" i="90"/>
  <c r="AI112" i="90" s="1"/>
  <c r="AD113" i="90"/>
  <c r="AK112" i="90" l="1"/>
  <c r="AM112" i="90" s="1"/>
  <c r="AE113" i="90"/>
  <c r="AF113" i="90"/>
  <c r="AG113" i="90" s="1"/>
  <c r="AJ113" i="90" s="1"/>
  <c r="AS113" i="90"/>
  <c r="BD112" i="90" l="1"/>
  <c r="AY112" i="90"/>
  <c r="AT113" i="90"/>
  <c r="AD114" i="90"/>
  <c r="AH113" i="90"/>
  <c r="AI113" i="90" s="1"/>
  <c r="AK113" i="90" l="1"/>
  <c r="AM113" i="90" s="1"/>
  <c r="AS114" i="90"/>
  <c r="AE114" i="90"/>
  <c r="AF114" i="90"/>
  <c r="AG114" i="90" s="1"/>
  <c r="AJ114" i="90" s="1"/>
  <c r="BD113" i="90" l="1"/>
  <c r="AY113" i="90"/>
  <c r="AT114" i="90"/>
  <c r="AH114" i="90"/>
  <c r="AD115" i="90"/>
  <c r="AI114" i="90" l="1"/>
  <c r="AF115" i="90"/>
  <c r="AG115" i="90" s="1"/>
  <c r="AJ115" i="90" s="1"/>
  <c r="AE115" i="90"/>
  <c r="AS115" i="90"/>
  <c r="AK114" i="90" l="1"/>
  <c r="AM114" i="90" s="1"/>
  <c r="AH115" i="90"/>
  <c r="AI115" i="90" s="1"/>
  <c r="AD116" i="90"/>
  <c r="AT115" i="90"/>
  <c r="BD114" i="90" l="1"/>
  <c r="AY114" i="90"/>
  <c r="AK115" i="90"/>
  <c r="AM115" i="90" s="1"/>
  <c r="AE116" i="90"/>
  <c r="AS116" i="90"/>
  <c r="AF116" i="90"/>
  <c r="AG116" i="90" s="1"/>
  <c r="AJ116" i="90" s="1"/>
  <c r="BD115" i="90" l="1"/>
  <c r="AY115" i="90"/>
  <c r="AH116" i="90"/>
  <c r="AI116" i="90" s="1"/>
  <c r="AT116" i="90"/>
  <c r="AD117" i="90"/>
  <c r="AK116" i="90" l="1"/>
  <c r="AM116" i="90" s="1"/>
  <c r="AS117" i="90"/>
  <c r="AE117" i="90"/>
  <c r="AF117" i="90"/>
  <c r="AY116" i="90" l="1"/>
  <c r="BD116" i="90"/>
  <c r="AG117" i="90"/>
  <c r="AJ117" i="90" s="1"/>
  <c r="AT117" i="90"/>
  <c r="AH117" i="90"/>
  <c r="AI117" i="90" s="1"/>
  <c r="AK117" i="90" s="1"/>
  <c r="AD118" i="90"/>
  <c r="AM117" i="90" l="1"/>
  <c r="AE118" i="90"/>
  <c r="AS118" i="90"/>
  <c r="AF118" i="90"/>
  <c r="AG118" i="90" s="1"/>
  <c r="AJ118" i="90" s="1"/>
  <c r="AY117" i="90" l="1"/>
  <c r="BD117" i="90"/>
  <c r="AT118" i="90"/>
  <c r="AD119" i="90"/>
  <c r="AH118" i="90"/>
  <c r="AI118" i="90" s="1"/>
  <c r="AK118" i="90" l="1"/>
  <c r="AM118" i="90" s="1"/>
  <c r="AE119" i="90"/>
  <c r="AS119" i="90"/>
  <c r="AF119" i="90"/>
  <c r="AG119" i="90" s="1"/>
  <c r="AJ119" i="90" s="1"/>
  <c r="AY118" i="90" l="1"/>
  <c r="BD118" i="90"/>
  <c r="AT119" i="90"/>
  <c r="AH119" i="90"/>
  <c r="AI119" i="90" s="1"/>
  <c r="AD120" i="90"/>
  <c r="AK119" i="90" l="1"/>
  <c r="AM119" i="90" s="1"/>
  <c r="AE120" i="90"/>
  <c r="AF120" i="90"/>
  <c r="AG120" i="90" s="1"/>
  <c r="AJ120" i="90" s="1"/>
  <c r="AS120" i="90"/>
  <c r="AY119" i="90" l="1"/>
  <c r="BD119" i="90"/>
  <c r="AT120" i="90"/>
  <c r="AH120" i="90"/>
  <c r="AI120" i="90" s="1"/>
  <c r="AK120" i="90" s="1"/>
  <c r="AD121" i="90"/>
  <c r="AS121" i="90" l="1"/>
  <c r="AE121" i="90"/>
  <c r="AF121" i="90"/>
  <c r="AG121" i="90" s="1"/>
  <c r="AJ121" i="90" s="1"/>
  <c r="AM120" i="90"/>
  <c r="AY120" i="90" l="1"/>
  <c r="BD120" i="90"/>
  <c r="AD122" i="90"/>
  <c r="AT121" i="90"/>
  <c r="AH121" i="90"/>
  <c r="AI121" i="90" s="1"/>
  <c r="AK121" i="90" l="1"/>
  <c r="AM121" i="90" s="1"/>
  <c r="AE122" i="90"/>
  <c r="AS122" i="90"/>
  <c r="AF122" i="90"/>
  <c r="AG122" i="90" s="1"/>
  <c r="AJ122" i="90" s="1"/>
  <c r="AY121" i="90" l="1"/>
  <c r="BD121" i="90"/>
  <c r="AD123" i="90"/>
  <c r="AT122" i="90"/>
  <c r="AH122" i="90"/>
  <c r="AI122" i="90" s="1"/>
  <c r="AK122" i="90" l="1"/>
  <c r="AM122" i="90" s="1"/>
  <c r="AF123" i="90"/>
  <c r="AG123" i="90" s="1"/>
  <c r="AJ123" i="90" s="1"/>
  <c r="AE123" i="90"/>
  <c r="AS123" i="90"/>
  <c r="BD122" i="90" l="1"/>
  <c r="AY122" i="90"/>
  <c r="AT123" i="90"/>
  <c r="AH123" i="90"/>
  <c r="AI123" i="90" s="1"/>
  <c r="AK123" i="90" s="1"/>
  <c r="AD124" i="90"/>
  <c r="AE124" i="90" l="1"/>
  <c r="AS124" i="90"/>
  <c r="AF124" i="90"/>
  <c r="AG124" i="90" s="1"/>
  <c r="AJ124" i="90" s="1"/>
  <c r="AM123" i="90"/>
  <c r="BD123" i="90" l="1"/>
  <c r="AY123" i="90"/>
  <c r="AT124" i="90"/>
  <c r="AH124" i="90"/>
  <c r="AI124" i="90" s="1"/>
  <c r="AK124" i="90" s="1"/>
  <c r="AD125" i="90"/>
  <c r="AF125" i="90" l="1"/>
  <c r="AE125" i="90"/>
  <c r="AS125" i="90"/>
  <c r="AG125" i="90"/>
  <c r="AJ125" i="90" s="1"/>
  <c r="AM124" i="90"/>
  <c r="BD124" i="90" l="1"/>
  <c r="AY124" i="90"/>
  <c r="AT125" i="90"/>
  <c r="AH125" i="90"/>
  <c r="AI125" i="90" s="1"/>
  <c r="AD126" i="90"/>
  <c r="AK125" i="90" l="1"/>
  <c r="AM125" i="90" s="1"/>
  <c r="AS126" i="90"/>
  <c r="AF126" i="90"/>
  <c r="AG126" i="90" s="1"/>
  <c r="AJ126" i="90" s="1"/>
  <c r="AE126" i="90"/>
  <c r="BD125" i="90" l="1"/>
  <c r="AY125" i="90"/>
  <c r="AT126" i="90"/>
  <c r="AD127" i="90"/>
  <c r="AH126" i="90"/>
  <c r="AI126" i="90" l="1"/>
  <c r="AE127" i="90"/>
  <c r="AS127" i="90"/>
  <c r="AF127" i="90"/>
  <c r="AG127" i="90" s="1"/>
  <c r="AJ127" i="90" s="1"/>
  <c r="AK126" i="90" l="1"/>
  <c r="AM126" i="90" s="1"/>
  <c r="AH127" i="90"/>
  <c r="AD128" i="90"/>
  <c r="AT127" i="90"/>
  <c r="BD126" i="90" l="1"/>
  <c r="AY126" i="90"/>
  <c r="AI127" i="90"/>
  <c r="AF128" i="90"/>
  <c r="AG128" i="90" s="1"/>
  <c r="AJ128" i="90" s="1"/>
  <c r="AS128" i="90"/>
  <c r="AE128" i="90"/>
  <c r="AK127" i="90" l="1"/>
  <c r="AM127" i="90" s="1"/>
  <c r="AH128" i="90"/>
  <c r="AI128" i="90" s="1"/>
  <c r="AK128" i="90" s="1"/>
  <c r="AD129" i="90"/>
  <c r="AT128" i="90"/>
  <c r="BD127" i="90" l="1"/>
  <c r="AY127" i="90"/>
  <c r="AE129" i="90"/>
  <c r="AF129" i="90"/>
  <c r="AG129" i="90" s="1"/>
  <c r="AJ129" i="90" s="1"/>
  <c r="AS129" i="90"/>
  <c r="AM128" i="90"/>
  <c r="BD128" i="90" l="1"/>
  <c r="AY128" i="90"/>
  <c r="AD130" i="90"/>
  <c r="AT129" i="90"/>
  <c r="AH129" i="90"/>
  <c r="AI129" i="90" s="1"/>
  <c r="AK129" i="90" l="1"/>
  <c r="AM129" i="90" s="1"/>
  <c r="AE130" i="90"/>
  <c r="AF130" i="90"/>
  <c r="AS130" i="90"/>
  <c r="BD129" i="90" l="1"/>
  <c r="AY129" i="90"/>
  <c r="AG130" i="90"/>
  <c r="AJ130" i="90" s="1"/>
  <c r="AH130" i="90"/>
  <c r="AI130" i="90" s="1"/>
  <c r="AK130" i="90" s="1"/>
  <c r="AT130" i="90"/>
  <c r="AD131" i="90"/>
  <c r="AM130" i="90" l="1"/>
  <c r="AE131" i="90"/>
  <c r="AS131" i="90"/>
  <c r="AF131" i="90"/>
  <c r="AG131" i="90" s="1"/>
  <c r="AJ131" i="90" s="1"/>
  <c r="AY130" i="90" l="1"/>
  <c r="BD130" i="90"/>
  <c r="AH131" i="90"/>
  <c r="AI131" i="90" s="1"/>
  <c r="AK131" i="90" s="1"/>
  <c r="AT131" i="90"/>
  <c r="AM131" i="90" l="1"/>
  <c r="AY131" i="90" l="1"/>
  <c r="BD131" i="90"/>
</calcChain>
</file>

<file path=xl/sharedStrings.xml><?xml version="1.0" encoding="utf-8"?>
<sst xmlns="http://schemas.openxmlformats.org/spreadsheetml/2006/main" count="226" uniqueCount="191">
  <si>
    <t>Вид дефекта</t>
  </si>
  <si>
    <r>
      <t xml:space="preserve">Значение показателя </t>
    </r>
    <r>
      <rPr>
        <b/>
        <sz val="16"/>
        <color rgb="FF003366"/>
        <rFont val="Arial"/>
        <family val="2"/>
        <charset val="204"/>
      </rPr>
      <t>ρ</t>
    </r>
    <r>
      <rPr>
        <b/>
        <sz val="12"/>
        <color rgb="FF003366"/>
        <rFont val="Arial"/>
        <family val="2"/>
        <charset val="204"/>
      </rPr>
      <t xml:space="preserve"> при типе дорожных одежд</t>
    </r>
  </si>
  <si>
    <t>Оценка в баллах</t>
  </si>
  <si>
    <t>Усовершен- ствованные капитальные</t>
  </si>
  <si>
    <t>Усовершен- ствованные облегченные</t>
  </si>
  <si>
    <t>Переходные</t>
  </si>
  <si>
    <t xml:space="preserve">без дефектов; </t>
  </si>
  <si>
    <t>без деф</t>
  </si>
  <si>
    <t xml:space="preserve">поперечные одиночные трещины на расстоянии 20-40 м между трещинами; </t>
  </si>
  <si>
    <t>пт2040</t>
  </si>
  <si>
    <t xml:space="preserve">поперечные одиночные трещины на расстоянии 10-20 м; </t>
  </si>
  <si>
    <t>пт1020</t>
  </si>
  <si>
    <t xml:space="preserve">поперечные редкие трещины на расстоянии 8-10 м; </t>
  </si>
  <si>
    <t>пт810</t>
  </si>
  <si>
    <t xml:space="preserve">поперечные редкие трещины на расстоянии 6-8 м; </t>
  </si>
  <si>
    <t>пт68</t>
  </si>
  <si>
    <t xml:space="preserve">поперечные редкие трещины на расстоянии 4-6 м; </t>
  </si>
  <si>
    <t>пт46</t>
  </si>
  <si>
    <t xml:space="preserve">поперечные частые трещины на расстоянии 3-4 м; </t>
  </si>
  <si>
    <t>-</t>
  </si>
  <si>
    <t>пт34</t>
  </si>
  <si>
    <t xml:space="preserve">поперечные частые трещины на расстоянии 2-3 м; </t>
  </si>
  <si>
    <t>пт23</t>
  </si>
  <si>
    <t xml:space="preserve">поперечные частые трещины на расстоянии 1-2 м; </t>
  </si>
  <si>
    <t>пт12</t>
  </si>
  <si>
    <t xml:space="preserve">продольная центральная трещина; </t>
  </si>
  <si>
    <t>по</t>
  </si>
  <si>
    <t xml:space="preserve">продольные боковые трещины; </t>
  </si>
  <si>
    <t>пб</t>
  </si>
  <si>
    <t xml:space="preserve">одиночная сетка трещин на площади до 10 м с крупными ячейками (сторона ячейки более 0,5 м); </t>
  </si>
  <si>
    <t>одкр</t>
  </si>
  <si>
    <t xml:space="preserve">одиночная сетка трещин на площади до 10 м с мелкими ячейками (сторона ячейки менее 0,5 м); </t>
  </si>
  <si>
    <t>одмел</t>
  </si>
  <si>
    <t xml:space="preserve">густая сетка трещин на площади до 10 м; </t>
  </si>
  <si>
    <t>гсет</t>
  </si>
  <si>
    <t xml:space="preserve">сетка трещин на площади более 10м при относительной площади, занимаемой сеткой, 30-10%; </t>
  </si>
  <si>
    <t>мс30</t>
  </si>
  <si>
    <t xml:space="preserve">сетка трещин на площади более 10м при относительной площади, 60-30%; </t>
  </si>
  <si>
    <t>мс60</t>
  </si>
  <si>
    <t xml:space="preserve">сетка трещин на площади более 10м при относительной площади, 90-60%; </t>
  </si>
  <si>
    <t>мс90</t>
  </si>
  <si>
    <t xml:space="preserve">колейность при средней глубине колеи до 10 мм; </t>
  </si>
  <si>
    <t>кол10</t>
  </si>
  <si>
    <t xml:space="preserve">колейность при средней глубине колеи 10-20 мм; </t>
  </si>
  <si>
    <t>кол20</t>
  </si>
  <si>
    <t xml:space="preserve">колейность при средней глубине колеи 20-30 мм; </t>
  </si>
  <si>
    <t>кол30</t>
  </si>
  <si>
    <t xml:space="preserve">колейность при средней глубине колеи 30-40 мм; </t>
  </si>
  <si>
    <t>кол40</t>
  </si>
  <si>
    <t xml:space="preserve">колейность при средней глубине колеи 40-50 мм; </t>
  </si>
  <si>
    <t>кол50</t>
  </si>
  <si>
    <t xml:space="preserve">колейность при средней глубине колеи 50-70 мм; </t>
  </si>
  <si>
    <t>кол70</t>
  </si>
  <si>
    <t xml:space="preserve">колейность при средней глубине колеи более 70 мм; </t>
  </si>
  <si>
    <t>кол80</t>
  </si>
  <si>
    <t xml:space="preserve">просадки (пучины) при относительной площади просадок 20-10%; </t>
  </si>
  <si>
    <t>прос10</t>
  </si>
  <si>
    <t xml:space="preserve">просадки (пучины) при относительной площади просадок 50-20%; </t>
  </si>
  <si>
    <t>прос20</t>
  </si>
  <si>
    <t xml:space="preserve">просадки (пучины) при относительной площади просадок более 50%; </t>
  </si>
  <si>
    <t>прос50</t>
  </si>
  <si>
    <t xml:space="preserve">проломы дорожной одежды (вскрывшиеся пучины) при относительной площади, занимаемой проломами, 10-5%; </t>
  </si>
  <si>
    <t>прол5</t>
  </si>
  <si>
    <t xml:space="preserve">проломы дорожной одежды (вскрывшиеся пучины) при относительной площади, занимаемой проломами, 30-10%; </t>
  </si>
  <si>
    <t>прол10</t>
  </si>
  <si>
    <t xml:space="preserve">проломы дорожной одежды (вскрывшиеся пучины) при относительной площади, занимаемой проломами, более 30%; </t>
  </si>
  <si>
    <t>прол30</t>
  </si>
  <si>
    <t xml:space="preserve">одиночные выбоины на расстоянии более 20 м; </t>
  </si>
  <si>
    <t>одвыб</t>
  </si>
  <si>
    <t xml:space="preserve">отдельные выбоины на расстоянии 10-20 м; </t>
  </si>
  <si>
    <t>отвыб</t>
  </si>
  <si>
    <t xml:space="preserve">редкие выбоины на расстоянии 4-10 м; </t>
  </si>
  <si>
    <t>рвыб</t>
  </si>
  <si>
    <t xml:space="preserve">частые выбоины на расстоянии 1-4 м; </t>
  </si>
  <si>
    <t>чвыб</t>
  </si>
  <si>
    <t xml:space="preserve">карты заделанных выбоин, залитые трещины; </t>
  </si>
  <si>
    <t>кар</t>
  </si>
  <si>
    <t xml:space="preserve">поперечные волны, сдвиги; </t>
  </si>
  <si>
    <t>вол</t>
  </si>
  <si>
    <t>пгс</t>
  </si>
  <si>
    <t>Ширина</t>
  </si>
  <si>
    <t>Покрытие</t>
  </si>
  <si>
    <t>Тип ДО</t>
  </si>
  <si>
    <t>Категория</t>
  </si>
  <si>
    <t>III</t>
  </si>
  <si>
    <t>Бср</t>
  </si>
  <si>
    <t>Прот ПГС; грунт</t>
  </si>
  <si>
    <t>IV</t>
  </si>
  <si>
    <t>фото</t>
  </si>
  <si>
    <t>грунт</t>
  </si>
  <si>
    <t>Протяженность</t>
  </si>
  <si>
    <t>II</t>
  </si>
  <si>
    <t>V</t>
  </si>
  <si>
    <t>I-б</t>
  </si>
  <si>
    <t>Начало, км</t>
  </si>
  <si>
    <t>грул</t>
  </si>
  <si>
    <t>разр аб</t>
  </si>
  <si>
    <t>грунтовая дорога;</t>
  </si>
  <si>
    <t>разрушенный асфальтобетон;</t>
  </si>
  <si>
    <t>песчано-гравийное покрытие;</t>
  </si>
  <si>
    <t>грунтовое улучшенное покрытие;</t>
  </si>
  <si>
    <t>плиты</t>
  </si>
  <si>
    <t>бетонные плиты</t>
  </si>
  <si>
    <t>гр2040</t>
  </si>
  <si>
    <t>гр1020</t>
  </si>
  <si>
    <t>гр810</t>
  </si>
  <si>
    <t>гр68</t>
  </si>
  <si>
    <t>гр46</t>
  </si>
  <si>
    <t>пг68</t>
  </si>
  <si>
    <t>пг810</t>
  </si>
  <si>
    <t>пг2040</t>
  </si>
  <si>
    <t>пг1020</t>
  </si>
  <si>
    <t>пг46</t>
  </si>
  <si>
    <t>щ2040</t>
  </si>
  <si>
    <t>щ1020</t>
  </si>
  <si>
    <t>щ810</t>
  </si>
  <si>
    <t>щ68</t>
  </si>
  <si>
    <t>щ46</t>
  </si>
  <si>
    <t>Кпр</t>
  </si>
  <si>
    <t>Таким образом, в соответствии с результатами камеральной обработки данных, состояние покрытия дороги является допустимым и не требует ремонта. Перед началом использования участка автодороги для доставки грузов ремонтно-восстановительные работы допускается не проводить.</t>
  </si>
  <si>
    <t>Таким образом, в соответствии с результатами камеральной обработки данных, состояние покрытия дороги является удовлетворительным. При значительном увеличении нагрузки на дорожную одежду без проведения ремонтно-восстановительных мероприятий прогнозируется снижение несущей способности до недопустимых значений. Перед пропуском необходимой нагрузки необходимо устранить дефекты проезжей части, а также включить мероприятия по восстановлению вновь образовавшихся дефектов после проезда нагрузки.</t>
  </si>
  <si>
    <t>Таким образом, в соответствии с результатами камеральной обработки данных, состояние покрытия дороги является неудовлетворительным. Существующие дефекты свидетельствуют о снижении несущей способности основания дорожной одежды, а также о риске разрушения дорожной одежды в случае интенсивного движения грузового транспорта. Перед пропуском необходимой нагрузки необходимо устранить дефекты проезжей части, а также предусмотреть частичное переустройство покрытия после проезда нагрузки.</t>
  </si>
  <si>
    <t>Таким образом, в соответствии с результатами камеральной обработки данных, состояние покрытия дороги является недопустимым. Состояние дорожной одежды не позволяет осуществить интенсивное движение грузового транспорта. Для пропуска необходимой нагрузки необходимо выполнение ремонтно-восстановительных мероприятия по частичному переустройству слоев асфальтобетонных покрытий.</t>
  </si>
  <si>
    <t xml:space="preserve">В основу принятия решения о проведении ремонтно-восстановительных мероприятий положены результаты оценки фактических значений параметров и характеристик конструктивных элементов автомобильных дорог с учетом временного изменения состава транспортного потока и интенсивности движения за счет перевозки грузов при строительстве объекта. По результатам обследования участка автодороги значение средневзвешенного балла на участке автодороги составляет </t>
  </si>
  <si>
    <t xml:space="preserve">, средневзвешенного коэффициента прочности – </t>
  </si>
  <si>
    <t xml:space="preserve">. </t>
  </si>
  <si>
    <t>от</t>
  </si>
  <si>
    <t>до</t>
  </si>
  <si>
    <t>№</t>
  </si>
  <si>
    <t>Наименование</t>
  </si>
  <si>
    <t>Фото</t>
  </si>
  <si>
    <t>Принадлежность</t>
  </si>
  <si>
    <t>Используемый участок</t>
  </si>
  <si>
    <t>«»</t>
  </si>
  <si>
    <t>дорога</t>
  </si>
  <si>
    <t>подъезд</t>
  </si>
  <si>
    <t>улица</t>
  </si>
  <si>
    <t>Осевая нагрузка</t>
  </si>
  <si>
    <t xml:space="preserve">косые трещины; </t>
  </si>
  <si>
    <t xml:space="preserve">отдельные выбоины на щебеночном покрытии на расстоянии 20-40 м между выбоинами; </t>
  </si>
  <si>
    <t xml:space="preserve">отдельные выбоины на щебеночном покрытии на расстоянии 10-20 м между выбоинами; </t>
  </si>
  <si>
    <t xml:space="preserve">редкие выбоины на щебеночном покрытии на расстоянии 8-10 м между выбоинами; </t>
  </si>
  <si>
    <t xml:space="preserve">редкие выбоины на щебеночном покрытии на расстоянии 6-8 м между выбоинами; </t>
  </si>
  <si>
    <t xml:space="preserve">редкие выбоины на щебеночном покрытии на расстоянии 4-6 м между выбоинами; </t>
  </si>
  <si>
    <t xml:space="preserve">отдельные выбоины на гравийном покрытии на расстоянии 20-40 м между выбоинами; </t>
  </si>
  <si>
    <t xml:space="preserve">отдельные выбоины на гравийном покрытии на расстоянии 10-20 м между выбоинами; </t>
  </si>
  <si>
    <t xml:space="preserve">редкие выбоины на гравийном покрытии на расстоянии 8-10 м между выбоинами; </t>
  </si>
  <si>
    <t xml:space="preserve">редкие выбоины на гравийном покрытии на расстоянии 6-8 м между выбоинами; </t>
  </si>
  <si>
    <t xml:space="preserve">редкие выбоины на гравийном покрытии на расстоянии 4-6 м между выбоинами; </t>
  </si>
  <si>
    <t xml:space="preserve">отдельные выбоины на песчано-гравийном покрытии на расстоянии 20-40 м между выбоинами; </t>
  </si>
  <si>
    <t xml:space="preserve">отдельные выбоины на песчано-гравийном покрытии на расстоянии 10-20 м между выбоинами; </t>
  </si>
  <si>
    <t xml:space="preserve">редкие выбоины на песчано-гравийном покрытии на расстоянии 8-10 м между выбоинами; </t>
  </si>
  <si>
    <t xml:space="preserve">редкие выбоины на песчано-гравийном покрытии на расстоянии 6-8 м между выбоинами; </t>
  </si>
  <si>
    <t xml:space="preserve">редкие выбоины на песчано-гравийном покрытии на расстоянии 4-6 м между выбоинами; </t>
  </si>
  <si>
    <t>облегченная</t>
  </si>
  <si>
    <t>Широта начало</t>
  </si>
  <si>
    <t>Долгота начало</t>
  </si>
  <si>
    <t>Широта конец</t>
  </si>
  <si>
    <t>Долгота конец</t>
  </si>
  <si>
    <t>Для заметок (свои дефекты, дефекты на плитах итд)</t>
  </si>
  <si>
    <t>Наличие маршрута в книге</t>
  </si>
  <si>
    <t>маршрут есть</t>
  </si>
  <si>
    <t>кос</t>
  </si>
  <si>
    <t>пггр</t>
  </si>
  <si>
    <t>гребенка на песчано-гравийном покрытии;</t>
  </si>
  <si>
    <t>гргр</t>
  </si>
  <si>
    <t>Гребенка на гравийном покрытии;</t>
  </si>
  <si>
    <t xml:space="preserve">залитые поперечные одиночные трещины на расстоянии 20-40 м между трещинами; </t>
  </si>
  <si>
    <t xml:space="preserve">залитые поперечные одиночные трещины на расстоянии 10-20 м; </t>
  </si>
  <si>
    <t xml:space="preserve">залитые поперечные редкие трещины на расстоянии 8-10 м; </t>
  </si>
  <si>
    <t xml:space="preserve">залитые поперечные редкие трещины на расстоянии 6-8 м; </t>
  </si>
  <si>
    <t xml:space="preserve">залитые поперечные редкие трещины на расстоянии 4-6 м; </t>
  </si>
  <si>
    <t xml:space="preserve">залитые поперечные частые трещины на расстоянии 3-4 м; </t>
  </si>
  <si>
    <t xml:space="preserve">залитые поперечные частые трещины на расстоянии 2-3 м; </t>
  </si>
  <si>
    <t xml:space="preserve">залитые поперечные частые трещины на расстоянии 1-2 м; </t>
  </si>
  <si>
    <t xml:space="preserve">залитые продольные боковые трещины; </t>
  </si>
  <si>
    <t>зпб</t>
  </si>
  <si>
    <t>зпт1020</t>
  </si>
  <si>
    <t>зпт810</t>
  </si>
  <si>
    <t>зпт68</t>
  </si>
  <si>
    <t>зпт46</t>
  </si>
  <si>
    <t>зпт34</t>
  </si>
  <si>
    <t>зпт23</t>
  </si>
  <si>
    <t>зпт12</t>
  </si>
  <si>
    <t>зпт2040</t>
  </si>
  <si>
    <t>ям</t>
  </si>
  <si>
    <t>ямочный ремонт;</t>
  </si>
  <si>
    <t>I</t>
  </si>
  <si>
    <t>IV-в</t>
  </si>
  <si>
    <t>ширина</t>
  </si>
  <si>
    <t>покрытие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</si>
</sst>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#########"/>
    <numFmt numFmtId="167" formatCode="0.0000"/>
  </numFmts>
  <fonts count="21" x14ac:knownFonts="1">
    <font>
      <sz val="11"/>
      <color theme="1"/>
      <name val="Calibri"/>
      <family val="2"/>
      <charset val="204"/>
      <scheme val="minor"/>
    </font>
    <font>
      <b/>
      <sz val="12"/>
      <color rgb="FF003366"/>
      <name val="Arial"/>
      <family val="2"/>
      <charset val="204"/>
    </font>
    <font>
      <b/>
      <sz val="16"/>
      <color rgb="FF003366"/>
      <name val="Arial"/>
      <family val="2"/>
      <charset val="204"/>
    </font>
    <font>
      <sz val="13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6F0FF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3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20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horizontal="center" vertical="center" wrapText="1"/>
    </xf>
    <xf numFmtId="2" fontId="0" fillId="0" borderId="0" xfId="0" applyNumberFormat="1"/>
    <xf numFmtId="0" fontId="1" fillId="11" borderId="13" xfId="0" applyFont="1" applyFill="1" applyBorder="1" applyAlignment="1">
      <alignment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14" borderId="0" xfId="0" applyFill="1" applyAlignment="1" applyProtection="1">
      <alignment horizontal="center" vertical="center"/>
    </xf>
    <xf numFmtId="0" fontId="4" fillId="13" borderId="8" xfId="0" applyFont="1" applyFill="1" applyBorder="1" applyAlignment="1" applyProtection="1">
      <alignment horizontal="center" vertical="center"/>
      <protection locked="0"/>
    </xf>
    <xf numFmtId="0" fontId="1" fillId="11" borderId="13" xfId="0" applyFont="1" applyFill="1" applyBorder="1" applyAlignment="1">
      <alignment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 applyProtection="1">
      <alignment vertical="center"/>
      <protection locked="0"/>
    </xf>
    <xf numFmtId="0" fontId="0" fillId="16" borderId="11" xfId="0" applyFill="1" applyBorder="1" applyProtection="1">
      <protection locked="0"/>
    </xf>
    <xf numFmtId="0" fontId="0" fillId="16" borderId="10" xfId="0" applyFill="1" applyBorder="1" applyProtection="1">
      <protection locked="0"/>
    </xf>
    <xf numFmtId="0" fontId="0" fillId="0" borderId="0" xfId="0"/>
    <xf numFmtId="0" fontId="1" fillId="17" borderId="13" xfId="0" applyFont="1" applyFill="1" applyBorder="1" applyAlignment="1">
      <alignment vertical="center" wrapText="1"/>
    </xf>
    <xf numFmtId="0" fontId="1" fillId="17" borderId="13" xfId="0" applyFont="1" applyFill="1" applyBorder="1" applyAlignment="1">
      <alignment horizontal="center" vertical="center" wrapText="1"/>
    </xf>
    <xf numFmtId="0" fontId="0" fillId="0" borderId="0" xfId="0" applyFill="1"/>
    <xf numFmtId="0" fontId="1" fillId="3" borderId="13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vertical="center" wrapText="1"/>
    </xf>
    <xf numFmtId="0" fontId="1" fillId="15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 applyProtection="1">
      <alignment wrapText="1"/>
      <protection locked="0"/>
    </xf>
    <xf numFmtId="0" fontId="7" fillId="13" borderId="0" xfId="0" applyFont="1" applyFill="1" applyBorder="1" applyAlignment="1" applyProtection="1">
      <alignment horizontal="left"/>
      <protection locked="0"/>
    </xf>
    <xf numFmtId="0" fontId="6" fillId="13" borderId="0" xfId="0" applyFont="1" applyFill="1" applyBorder="1" applyAlignment="1" applyProtection="1">
      <alignment horizontal="center" vertical="center"/>
      <protection locked="0"/>
    </xf>
    <xf numFmtId="0" fontId="4" fillId="13" borderId="8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10" fillId="0" borderId="0" xfId="0" applyFont="1" applyProtection="1">
      <protection locked="0"/>
    </xf>
    <xf numFmtId="49" fontId="0" fillId="0" borderId="0" xfId="0" applyNumberFormat="1"/>
    <xf numFmtId="0" fontId="11" fillId="16" borderId="9" xfId="0" applyFont="1" applyFill="1" applyBorder="1" applyAlignment="1" applyProtection="1">
      <alignment horizontal="center" vertical="center" wrapText="1"/>
      <protection locked="0"/>
    </xf>
    <xf numFmtId="0" fontId="4" fillId="16" borderId="9" xfId="0" applyNumberFormat="1" applyFont="1" applyFill="1" applyBorder="1" applyAlignment="1" applyProtection="1">
      <alignment vertical="center"/>
      <protection locked="0"/>
    </xf>
    <xf numFmtId="0" fontId="9" fillId="12" borderId="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165" fontId="9" fillId="12" borderId="8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4" fillId="16" borderId="8" xfId="0" applyFont="1" applyFill="1" applyBorder="1" applyAlignment="1" applyProtection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3" fillId="18" borderId="0" xfId="0" applyFont="1" applyFill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1" fontId="9" fillId="12" borderId="8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" fontId="14" fillId="0" borderId="8" xfId="0" applyNumberFormat="1" applyFont="1" applyFill="1" applyBorder="1" applyAlignment="1" applyProtection="1">
      <alignment horizontal="center" vertical="center"/>
      <protection locked="0"/>
    </xf>
    <xf numFmtId="0" fontId="14" fillId="0" borderId="8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8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49" fontId="14" fillId="0" borderId="0" xfId="0" applyNumberFormat="1" applyFont="1" applyAlignment="1">
      <alignment horizontal="center" vertical="center" wrapText="1"/>
    </xf>
    <xf numFmtId="49" fontId="14" fillId="0" borderId="8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8" xfId="0" applyNumberFormat="1" applyFont="1" applyFill="1" applyBorder="1" applyAlignment="1" applyProtection="1">
      <alignment horizontal="center" vertical="center" wrapText="1"/>
      <protection locked="0"/>
    </xf>
    <xf numFmtId="165" fontId="14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8" xfId="0" applyFont="1" applyFill="1" applyBorder="1" applyAlignment="1">
      <alignment horizontal="center" vertical="center"/>
    </xf>
    <xf numFmtId="1" fontId="14" fillId="0" borderId="8" xfId="0" applyNumberFormat="1" applyFont="1" applyFill="1" applyBorder="1" applyAlignment="1">
      <alignment horizontal="center" vertical="center"/>
    </xf>
    <xf numFmtId="0" fontId="14" fillId="0" borderId="0" xfId="0" applyFont="1" applyFill="1"/>
    <xf numFmtId="49" fontId="14" fillId="0" borderId="0" xfId="0" applyNumberFormat="1" applyFont="1" applyFill="1"/>
    <xf numFmtId="0" fontId="14" fillId="0" borderId="0" xfId="0" applyFont="1" applyFill="1" applyAlignment="1">
      <alignment horizontal="left"/>
    </xf>
    <xf numFmtId="0" fontId="17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wrapText="1"/>
    </xf>
    <xf numFmtId="49" fontId="19" fillId="0" borderId="8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1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>
      <alignment horizontal="center" vertical="center" wrapText="1"/>
    </xf>
    <xf numFmtId="49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/>
    <xf numFmtId="49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164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0" fontId="20" fillId="19" borderId="19" xfId="1" applyFill="1" applyBorder="1" applyAlignment="1" applyProtection="1">
      <alignment horizontal="center" vertical="center"/>
      <protection locked="0"/>
    </xf>
    <xf numFmtId="0" fontId="14" fillId="0" borderId="0" xfId="0" applyFont="1" applyBorder="1" applyAlignment="1">
      <alignment horizontal="right" vertical="center"/>
    </xf>
    <xf numFmtId="164" fontId="14" fillId="0" borderId="0" xfId="0" applyNumberFormat="1" applyFont="1" applyBorder="1" applyAlignment="1">
      <alignment horizontal="center" vertical="center"/>
    </xf>
    <xf numFmtId="164" fontId="3" fillId="13" borderId="21" xfId="0" applyNumberFormat="1" applyFont="1" applyFill="1" applyBorder="1" applyAlignment="1">
      <alignment horizontal="center" vertical="center"/>
    </xf>
    <xf numFmtId="164" fontId="3" fillId="14" borderId="21" xfId="0" applyNumberFormat="1" applyFont="1" applyFill="1" applyBorder="1" applyAlignment="1">
      <alignment horizontal="center" vertical="center"/>
    </xf>
    <xf numFmtId="165" fontId="3" fillId="13" borderId="21" xfId="0" applyNumberFormat="1" applyFont="1" applyFill="1" applyBorder="1" applyAlignment="1">
      <alignment horizontal="center" vertical="center"/>
    </xf>
    <xf numFmtId="0" fontId="3" fillId="13" borderId="21" xfId="0" applyFont="1" applyFill="1" applyBorder="1" applyAlignment="1">
      <alignment horizontal="center" vertical="center"/>
    </xf>
    <xf numFmtId="0" fontId="3" fillId="18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vertical="center"/>
    </xf>
    <xf numFmtId="0" fontId="3" fillId="15" borderId="21" xfId="0" applyFont="1" applyFill="1" applyBorder="1" applyAlignment="1">
      <alignment vertical="center" wrapText="1"/>
    </xf>
    <xf numFmtId="167" fontId="3" fillId="20" borderId="22" xfId="0" applyNumberFormat="1" applyFont="1" applyFill="1" applyBorder="1" applyAlignment="1">
      <alignment horizontal="center" vertical="center"/>
    </xf>
    <xf numFmtId="164" fontId="3" fillId="20" borderId="23" xfId="0" applyNumberFormat="1" applyFont="1" applyFill="1" applyBorder="1" applyAlignment="1">
      <alignment horizontal="center" vertical="center"/>
    </xf>
    <xf numFmtId="1" fontId="3" fillId="20" borderId="23" xfId="0" applyNumberFormat="1" applyFont="1" applyFill="1" applyBorder="1" applyAlignment="1">
      <alignment horizontal="center" vertical="center"/>
    </xf>
    <xf numFmtId="0" fontId="3" fillId="20" borderId="23" xfId="0" applyFont="1" applyFill="1" applyBorder="1" applyAlignment="1">
      <alignment horizontal="center" vertical="center"/>
    </xf>
    <xf numFmtId="0" fontId="3" fillId="20" borderId="23" xfId="0" applyNumberFormat="1" applyFont="1" applyFill="1" applyBorder="1" applyAlignment="1">
      <alignment horizontal="center" vertical="center"/>
    </xf>
    <xf numFmtId="0" fontId="3" fillId="12" borderId="23" xfId="0" applyNumberFormat="1" applyFont="1" applyFill="1" applyBorder="1" applyAlignment="1">
      <alignment horizontal="center" vertical="center"/>
    </xf>
    <xf numFmtId="0" fontId="3" fillId="20" borderId="21" xfId="0" applyNumberFormat="1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vertical="center" wrapText="1"/>
    </xf>
    <xf numFmtId="165" fontId="3" fillId="20" borderId="22" xfId="0" applyNumberFormat="1" applyFont="1" applyFill="1" applyBorder="1" applyAlignment="1">
      <alignment horizontal="center" vertical="center"/>
    </xf>
    <xf numFmtId="0" fontId="0" fillId="12" borderId="23" xfId="0" applyFont="1" applyFill="1" applyBorder="1"/>
    <xf numFmtId="164" fontId="3" fillId="20" borderId="21" xfId="0" applyNumberFormat="1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horizontal="center" vertical="center"/>
    </xf>
    <xf numFmtId="165" fontId="3" fillId="20" borderId="21" xfId="0" applyNumberFormat="1" applyFont="1" applyFill="1" applyBorder="1" applyAlignment="1">
      <alignment horizontal="center" vertical="center"/>
    </xf>
    <xf numFmtId="0" fontId="3" fillId="12" borderId="22" xfId="0" applyFont="1" applyFill="1" applyBorder="1" applyAlignment="1">
      <alignment horizontal="center" vertical="center"/>
    </xf>
    <xf numFmtId="2" fontId="3" fillId="20" borderId="21" xfId="0" applyNumberFormat="1" applyFont="1" applyFill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167" fontId="3" fillId="21" borderId="22" xfId="0" applyNumberFormat="1" applyFont="1" applyFill="1" applyBorder="1" applyAlignment="1">
      <alignment horizontal="center" vertical="center"/>
    </xf>
    <xf numFmtId="164" fontId="3" fillId="21" borderId="23" xfId="0" applyNumberFormat="1" applyFont="1" applyFill="1" applyBorder="1" applyAlignment="1">
      <alignment horizontal="center" vertical="center"/>
    </xf>
    <xf numFmtId="1" fontId="3" fillId="21" borderId="23" xfId="0" applyNumberFormat="1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 vertical="center"/>
    </xf>
    <xf numFmtId="0" fontId="3" fillId="21" borderId="23" xfId="0" applyNumberFormat="1" applyFont="1" applyFill="1" applyBorder="1" applyAlignment="1">
      <alignment horizontal="center" vertical="center"/>
    </xf>
    <xf numFmtId="0" fontId="3" fillId="21" borderId="21" xfId="0" applyNumberFormat="1" applyFont="1" applyFill="1" applyBorder="1" applyAlignment="1">
      <alignment horizontal="center" vertical="center"/>
    </xf>
    <xf numFmtId="0" fontId="3" fillId="21" borderId="21" xfId="0" applyFont="1" applyFill="1" applyBorder="1" applyAlignment="1">
      <alignment vertical="center" wrapText="1"/>
    </xf>
    <xf numFmtId="165" fontId="3" fillId="21" borderId="22" xfId="0" applyNumberFormat="1" applyFont="1" applyFill="1" applyBorder="1" applyAlignment="1">
      <alignment horizontal="center" vertical="center"/>
    </xf>
    <xf numFmtId="164" fontId="3" fillId="21" borderId="21" xfId="0" applyNumberFormat="1" applyFont="1" applyFill="1" applyBorder="1" applyAlignment="1">
      <alignment horizontal="center" vertical="center"/>
    </xf>
    <xf numFmtId="0" fontId="3" fillId="21" borderId="21" xfId="0" applyFont="1" applyFill="1" applyBorder="1" applyAlignment="1">
      <alignment horizontal="center" vertical="center"/>
    </xf>
    <xf numFmtId="165" fontId="3" fillId="21" borderId="21" xfId="0" applyNumberFormat="1" applyFont="1" applyFill="1" applyBorder="1" applyAlignment="1">
      <alignment horizontal="center" vertical="center"/>
    </xf>
    <xf numFmtId="2" fontId="3" fillId="21" borderId="21" xfId="0" applyNumberFormat="1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 vertical="center"/>
    </xf>
    <xf numFmtId="0" fontId="3" fillId="3" borderId="21" xfId="0" applyNumberFormat="1" applyFont="1" applyFill="1" applyBorder="1" applyAlignment="1">
      <alignment vertical="center"/>
    </xf>
    <xf numFmtId="0" fontId="3" fillId="15" borderId="21" xfId="0" applyNumberFormat="1" applyFont="1" applyFill="1" applyBorder="1" applyAlignment="1">
      <alignment vertical="center" wrapText="1"/>
    </xf>
    <xf numFmtId="164" fontId="3" fillId="21" borderId="22" xfId="0" applyNumberFormat="1" applyFont="1" applyFill="1" applyBorder="1" applyAlignment="1">
      <alignment horizontal="center" vertical="center"/>
    </xf>
    <xf numFmtId="0" fontId="3" fillId="21" borderId="21" xfId="0" applyNumberFormat="1" applyFont="1" applyFill="1" applyBorder="1" applyAlignment="1">
      <alignment vertical="center" wrapText="1"/>
    </xf>
    <xf numFmtId="0" fontId="3" fillId="21" borderId="12" xfId="0" applyNumberFormat="1" applyFont="1" applyFill="1" applyBorder="1" applyAlignment="1">
      <alignment horizontal="center" vertical="center"/>
    </xf>
    <xf numFmtId="164" fontId="3" fillId="20" borderId="22" xfId="0" applyNumberFormat="1" applyFont="1" applyFill="1" applyBorder="1" applyAlignment="1">
      <alignment horizontal="center" vertical="center"/>
    </xf>
    <xf numFmtId="0" fontId="3" fillId="20" borderId="21" xfId="0" applyNumberFormat="1" applyFont="1" applyFill="1" applyBorder="1" applyAlignment="1">
      <alignment vertical="center" wrapText="1"/>
    </xf>
    <xf numFmtId="0" fontId="3" fillId="20" borderId="12" xfId="0" applyNumberFormat="1" applyFont="1" applyFill="1" applyBorder="1" applyAlignment="1">
      <alignment horizontal="center" vertical="center"/>
    </xf>
    <xf numFmtId="165" fontId="3" fillId="13" borderId="9" xfId="0" applyNumberFormat="1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3" borderId="24" xfId="0" applyFont="1" applyFill="1" applyBorder="1" applyAlignment="1">
      <alignment horizontal="center" vertical="center"/>
    </xf>
    <xf numFmtId="0" fontId="3" fillId="18" borderId="24" xfId="0" applyFont="1" applyFill="1" applyBorder="1" applyAlignment="1">
      <alignment horizontal="center" vertical="center"/>
    </xf>
    <xf numFmtId="0" fontId="3" fillId="3" borderId="24" xfId="0" applyNumberFormat="1" applyFont="1" applyFill="1" applyBorder="1" applyAlignment="1">
      <alignment vertical="center"/>
    </xf>
    <xf numFmtId="0" fontId="3" fillId="3" borderId="24" xfId="0" applyFont="1" applyFill="1" applyBorder="1" applyAlignment="1">
      <alignment vertical="center"/>
    </xf>
    <xf numFmtId="0" fontId="3" fillId="15" borderId="24" xfId="0" applyNumberFormat="1" applyFont="1" applyFill="1" applyBorder="1" applyAlignment="1">
      <alignment vertical="center" wrapText="1"/>
    </xf>
    <xf numFmtId="0" fontId="3" fillId="15" borderId="24" xfId="0" applyFont="1" applyFill="1" applyBorder="1" applyAlignment="1">
      <alignment vertical="center" wrapText="1"/>
    </xf>
    <xf numFmtId="164" fontId="3" fillId="21" borderId="25" xfId="0" applyNumberFormat="1" applyFont="1" applyFill="1" applyBorder="1" applyAlignment="1">
      <alignment horizontal="center" vertical="center"/>
    </xf>
    <xf numFmtId="164" fontId="3" fillId="21" borderId="26" xfId="0" applyNumberFormat="1" applyFont="1" applyFill="1" applyBorder="1" applyAlignment="1">
      <alignment horizontal="center" vertical="center"/>
    </xf>
    <xf numFmtId="1" fontId="3" fillId="21" borderId="26" xfId="0" applyNumberFormat="1" applyFont="1" applyFill="1" applyBorder="1" applyAlignment="1">
      <alignment horizontal="center" vertical="center"/>
    </xf>
    <xf numFmtId="0" fontId="3" fillId="21" borderId="26" xfId="0" applyNumberFormat="1" applyFont="1" applyFill="1" applyBorder="1" applyAlignment="1">
      <alignment horizontal="center" vertical="center"/>
    </xf>
    <xf numFmtId="0" fontId="3" fillId="12" borderId="26" xfId="0" applyNumberFormat="1" applyFont="1" applyFill="1" applyBorder="1" applyAlignment="1">
      <alignment horizontal="center" vertical="center"/>
    </xf>
    <xf numFmtId="0" fontId="3" fillId="21" borderId="24" xfId="0" applyNumberFormat="1" applyFont="1" applyFill="1" applyBorder="1" applyAlignment="1">
      <alignment horizontal="center" vertical="center"/>
    </xf>
    <xf numFmtId="0" fontId="3" fillId="21" borderId="24" xfId="0" applyFont="1" applyFill="1" applyBorder="1" applyAlignment="1">
      <alignment vertical="center" wrapText="1"/>
    </xf>
    <xf numFmtId="0" fontId="3" fillId="21" borderId="24" xfId="0" applyNumberFormat="1" applyFont="1" applyFill="1" applyBorder="1" applyAlignment="1">
      <alignment vertical="center" wrapText="1"/>
    </xf>
    <xf numFmtId="165" fontId="3" fillId="21" borderId="25" xfId="0" applyNumberFormat="1" applyFont="1" applyFill="1" applyBorder="1" applyAlignment="1">
      <alignment horizontal="center" vertical="center"/>
    </xf>
    <xf numFmtId="0" fontId="3" fillId="21" borderId="26" xfId="0" applyFont="1" applyFill="1" applyBorder="1" applyAlignment="1">
      <alignment horizontal="center" vertical="center"/>
    </xf>
    <xf numFmtId="0" fontId="0" fillId="12" borderId="26" xfId="0" applyFont="1" applyFill="1" applyBorder="1"/>
    <xf numFmtId="164" fontId="3" fillId="21" borderId="24" xfId="0" applyNumberFormat="1" applyFont="1" applyFill="1" applyBorder="1" applyAlignment="1">
      <alignment horizontal="center" vertical="center"/>
    </xf>
    <xf numFmtId="0" fontId="3" fillId="21" borderId="24" xfId="0" applyFont="1" applyFill="1" applyBorder="1" applyAlignment="1">
      <alignment horizontal="center" vertical="center"/>
    </xf>
    <xf numFmtId="165" fontId="3" fillId="21" borderId="24" xfId="0" applyNumberFormat="1" applyFont="1" applyFill="1" applyBorder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164" fontId="3" fillId="21" borderId="9" xfId="0" applyNumberFormat="1" applyFont="1" applyFill="1" applyBorder="1" applyAlignment="1">
      <alignment horizontal="center" vertical="center"/>
    </xf>
    <xf numFmtId="165" fontId="3" fillId="21" borderId="9" xfId="0" applyNumberFormat="1" applyFont="1" applyFill="1" applyBorder="1" applyAlignment="1">
      <alignment horizontal="center" vertical="center"/>
    </xf>
    <xf numFmtId="2" fontId="3" fillId="21" borderId="9" xfId="0" applyNumberFormat="1" applyFont="1" applyFill="1" applyBorder="1" applyAlignment="1">
      <alignment horizontal="center" vertical="center"/>
    </xf>
    <xf numFmtId="2" fontId="3" fillId="21" borderId="24" xfId="0" applyNumberFormat="1" applyFont="1" applyFill="1" applyBorder="1" applyAlignment="1">
      <alignment horizontal="center" vertical="center"/>
    </xf>
    <xf numFmtId="0" fontId="3" fillId="21" borderId="2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 applyProtection="1">
      <alignment horizontal="left"/>
      <protection locked="0"/>
    </xf>
    <xf numFmtId="0" fontId="4" fillId="13" borderId="11" xfId="0" applyFont="1" applyFill="1" applyBorder="1" applyAlignment="1" applyProtection="1">
      <alignment horizontal="left"/>
      <protection locked="0"/>
    </xf>
    <xf numFmtId="0" fontId="0" fillId="14" borderId="14" xfId="0" applyFill="1" applyBorder="1" applyAlignment="1" applyProtection="1">
      <alignment horizontal="left" vertical="top" wrapText="1"/>
      <protection locked="0"/>
    </xf>
    <xf numFmtId="0" fontId="0" fillId="14" borderId="15" xfId="0" applyFill="1" applyBorder="1" applyAlignment="1" applyProtection="1">
      <alignment horizontal="left" vertical="top" wrapText="1"/>
      <protection locked="0"/>
    </xf>
    <xf numFmtId="0" fontId="0" fillId="14" borderId="2" xfId="0" applyFill="1" applyBorder="1" applyAlignment="1" applyProtection="1">
      <alignment horizontal="left" vertical="top" wrapText="1"/>
      <protection locked="0"/>
    </xf>
    <xf numFmtId="0" fontId="0" fillId="14" borderId="16" xfId="0" applyFill="1" applyBorder="1" applyAlignment="1" applyProtection="1">
      <alignment horizontal="left" vertical="top" wrapText="1"/>
      <protection locked="0"/>
    </xf>
    <xf numFmtId="0" fontId="0" fillId="14" borderId="17" xfId="0" applyFill="1" applyBorder="1" applyAlignment="1" applyProtection="1">
      <alignment horizontal="left" vertical="top" wrapText="1"/>
      <protection locked="0"/>
    </xf>
    <xf numFmtId="0" fontId="0" fillId="14" borderId="7" xfId="0" applyFill="1" applyBorder="1" applyAlignment="1" applyProtection="1">
      <alignment horizontal="left" vertical="top" wrapText="1"/>
      <protection locked="0"/>
    </xf>
    <xf numFmtId="0" fontId="4" fillId="13" borderId="8" xfId="0" applyFont="1" applyFill="1" applyBorder="1" applyAlignment="1" applyProtection="1">
      <alignment horizontal="left"/>
      <protection locked="0"/>
    </xf>
    <xf numFmtId="0" fontId="0" fillId="14" borderId="0" xfId="0" applyFill="1" applyAlignment="1" applyProtection="1">
      <alignment horizontal="left" vertical="top" wrapText="1"/>
      <protection locked="0"/>
    </xf>
    <xf numFmtId="0" fontId="4" fillId="13" borderId="8" xfId="0" applyFont="1" applyFill="1" applyBorder="1" applyAlignment="1" applyProtection="1">
      <alignment horizontal="center"/>
      <protection locked="0"/>
    </xf>
    <xf numFmtId="0" fontId="7" fillId="14" borderId="8" xfId="0" applyFont="1" applyFill="1" applyBorder="1" applyAlignment="1" applyProtection="1">
      <alignment horizontal="left"/>
    </xf>
    <xf numFmtId="2" fontId="6" fillId="14" borderId="8" xfId="0" applyNumberFormat="1" applyFont="1" applyFill="1" applyBorder="1" applyAlignment="1" applyProtection="1">
      <alignment horizontal="center" vertical="center"/>
    </xf>
    <xf numFmtId="0" fontId="4" fillId="13" borderId="8" xfId="0" applyFont="1" applyFill="1" applyBorder="1" applyAlignment="1" applyProtection="1">
      <alignment horizontal="center" vertical="center"/>
      <protection locked="0"/>
    </xf>
    <xf numFmtId="0" fontId="5" fillId="14" borderId="8" xfId="0" applyFont="1" applyFill="1" applyBorder="1" applyAlignment="1" applyProtection="1">
      <alignment horizontal="left"/>
    </xf>
    <xf numFmtId="166" fontId="6" fillId="14" borderId="8" xfId="0" applyNumberFormat="1" applyFont="1" applyFill="1" applyBorder="1" applyAlignment="1" applyProtection="1">
      <alignment horizontal="center" vertical="center"/>
    </xf>
    <xf numFmtId="0" fontId="4" fillId="16" borderId="8" xfId="0" applyFont="1" applyFill="1" applyBorder="1" applyAlignment="1" applyProtection="1">
      <alignment horizontal="center" vertical="center"/>
      <protection locked="0"/>
    </xf>
    <xf numFmtId="165" fontId="6" fillId="14" borderId="8" xfId="0" applyNumberFormat="1" applyFont="1" applyFill="1" applyBorder="1" applyAlignment="1" applyProtection="1">
      <alignment horizontal="center" vertical="center"/>
    </xf>
    <xf numFmtId="0" fontId="7" fillId="13" borderId="8" xfId="0" applyFont="1" applyFill="1" applyBorder="1" applyAlignment="1" applyProtection="1">
      <alignment horizontal="left"/>
      <protection locked="0"/>
    </xf>
    <xf numFmtId="0" fontId="6" fillId="13" borderId="8" xfId="0" applyFont="1" applyFill="1" applyBorder="1" applyAlignment="1" applyProtection="1">
      <alignment horizontal="center" vertical="center"/>
      <protection locked="0"/>
    </xf>
  </cellXfs>
  <cellStyles count="2">
    <cellStyle name="Гиперссылка" xfId="1" builtinId="8"/>
    <cellStyle name="Обычный" xfId="0" builtinId="0"/>
  </cellStyles>
  <dxfs count="7"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Стиль таблицы 1" pivot="0" count="0"/>
  </tableStyles>
  <colors>
    <mruColors>
      <color rgb="FFFFC000"/>
      <color rgb="FFFF0000"/>
      <color rgb="FFE6F0FF"/>
      <color rgb="FFFFEB9C"/>
      <color rgb="FFCCECFF"/>
      <color rgb="FFFF99FF"/>
      <color rgb="FFFEC434"/>
      <color rgb="FFFFCC66"/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F144"/>
  <sheetViews>
    <sheetView workbookViewId="0">
      <selection activeCell="A81" sqref="A81"/>
    </sheetView>
  </sheetViews>
  <sheetFormatPr defaultRowHeight="15" x14ac:dyDescent="0.25"/>
  <cols>
    <col min="2" max="2" width="48.7109375" customWidth="1"/>
    <col min="3" max="3" width="15.28515625" customWidth="1"/>
    <col min="4" max="4" width="16.42578125" customWidth="1"/>
    <col min="5" max="5" width="19.85546875" customWidth="1"/>
    <col min="6" max="6" width="17.5703125" customWidth="1"/>
  </cols>
  <sheetData>
    <row r="1" spans="1:6" ht="16.5" thickBot="1" x14ac:dyDescent="0.3">
      <c r="B1" s="1" t="s">
        <v>0</v>
      </c>
      <c r="C1" s="2"/>
      <c r="D1" s="183" t="s">
        <v>1</v>
      </c>
      <c r="E1" s="184"/>
      <c r="F1" s="185"/>
    </row>
    <row r="2" spans="1:6" ht="63.75" thickBot="1" x14ac:dyDescent="0.3">
      <c r="B2" s="3"/>
      <c r="C2" s="4" t="s">
        <v>2</v>
      </c>
      <c r="D2" s="4" t="s">
        <v>3</v>
      </c>
      <c r="E2" s="5" t="s">
        <v>4</v>
      </c>
      <c r="F2" s="5" t="s">
        <v>5</v>
      </c>
    </row>
    <row r="3" spans="1:6" ht="16.5" thickBot="1" x14ac:dyDescent="0.3">
      <c r="B3" s="6">
        <v>1</v>
      </c>
      <c r="C3" s="4">
        <v>2</v>
      </c>
      <c r="D3" s="4">
        <v>3</v>
      </c>
      <c r="E3" s="4">
        <v>4</v>
      </c>
      <c r="F3" s="4">
        <v>5</v>
      </c>
    </row>
    <row r="4" spans="1:6" ht="16.5" thickBot="1" x14ac:dyDescent="0.3">
      <c r="A4" s="41" t="s">
        <v>7</v>
      </c>
      <c r="B4" s="7" t="s">
        <v>6</v>
      </c>
      <c r="C4" s="8">
        <v>5</v>
      </c>
      <c r="D4" s="8">
        <v>1</v>
      </c>
      <c r="E4" s="8">
        <v>1</v>
      </c>
      <c r="F4" s="8">
        <v>1</v>
      </c>
    </row>
    <row r="5" spans="1:6" ht="32.25" thickBot="1" x14ac:dyDescent="0.3">
      <c r="A5" s="41" t="s">
        <v>9</v>
      </c>
      <c r="B5" s="7" t="s">
        <v>8</v>
      </c>
      <c r="C5" s="8">
        <v>4.9000000000000004</v>
      </c>
      <c r="D5" s="8">
        <v>0.95</v>
      </c>
      <c r="E5" s="8">
        <v>1</v>
      </c>
      <c r="F5" s="8">
        <v>0.9</v>
      </c>
    </row>
    <row r="6" spans="1:6" ht="32.25" thickBot="1" x14ac:dyDescent="0.3">
      <c r="A6" s="41" t="s">
        <v>11</v>
      </c>
      <c r="B6" s="7" t="s">
        <v>10</v>
      </c>
      <c r="C6" s="8">
        <v>4.5999999999999996</v>
      </c>
      <c r="D6" s="8">
        <v>0.9</v>
      </c>
      <c r="E6" s="8">
        <v>0.95</v>
      </c>
      <c r="F6" s="8">
        <v>0.8</v>
      </c>
    </row>
    <row r="7" spans="1:6" ht="32.25" thickBot="1" x14ac:dyDescent="0.3">
      <c r="A7" s="41" t="s">
        <v>13</v>
      </c>
      <c r="B7" s="9" t="s">
        <v>12</v>
      </c>
      <c r="C7" s="10">
        <v>4.3</v>
      </c>
      <c r="D7" s="10">
        <v>0.85</v>
      </c>
      <c r="E7" s="10">
        <v>0.9</v>
      </c>
      <c r="F7" s="10">
        <v>0.7</v>
      </c>
    </row>
    <row r="8" spans="1:6" ht="32.25" thickBot="1" x14ac:dyDescent="0.3">
      <c r="A8" s="41" t="s">
        <v>15</v>
      </c>
      <c r="B8" s="9" t="s">
        <v>14</v>
      </c>
      <c r="C8" s="10">
        <v>3.9</v>
      </c>
      <c r="D8" s="10">
        <v>0.8</v>
      </c>
      <c r="E8" s="10">
        <v>0.85</v>
      </c>
      <c r="F8" s="10">
        <v>0.55000000000000004</v>
      </c>
    </row>
    <row r="9" spans="1:6" ht="32.25" thickBot="1" x14ac:dyDescent="0.3">
      <c r="A9" s="41" t="s">
        <v>17</v>
      </c>
      <c r="B9" s="9" t="s">
        <v>16</v>
      </c>
      <c r="C9" s="10">
        <v>3.6</v>
      </c>
      <c r="D9" s="10">
        <v>0.78</v>
      </c>
      <c r="E9" s="10">
        <v>0.83</v>
      </c>
      <c r="F9" s="10">
        <v>0.42</v>
      </c>
    </row>
    <row r="10" spans="1:6" ht="32.25" thickBot="1" x14ac:dyDescent="0.3">
      <c r="A10" s="41" t="s">
        <v>20</v>
      </c>
      <c r="B10" s="11" t="s">
        <v>18</v>
      </c>
      <c r="C10" s="12">
        <v>3.2</v>
      </c>
      <c r="D10" s="12">
        <v>0.75</v>
      </c>
      <c r="E10" s="12">
        <v>0.8</v>
      </c>
      <c r="F10" s="12" t="s">
        <v>19</v>
      </c>
    </row>
    <row r="11" spans="1:6" ht="32.25" thickBot="1" x14ac:dyDescent="0.3">
      <c r="A11" s="41" t="s">
        <v>22</v>
      </c>
      <c r="B11" s="11" t="s">
        <v>21</v>
      </c>
      <c r="C11" s="12">
        <v>2.9</v>
      </c>
      <c r="D11" s="12">
        <v>0.7</v>
      </c>
      <c r="E11" s="12">
        <v>0.75</v>
      </c>
      <c r="F11" s="12" t="s">
        <v>19</v>
      </c>
    </row>
    <row r="12" spans="1:6" ht="32.25" thickBot="1" x14ac:dyDescent="0.3">
      <c r="A12" s="41" t="s">
        <v>24</v>
      </c>
      <c r="B12" s="11" t="s">
        <v>23</v>
      </c>
      <c r="C12" s="12">
        <v>2.6</v>
      </c>
      <c r="D12" s="12">
        <v>0.65</v>
      </c>
      <c r="E12" s="12">
        <v>0.7</v>
      </c>
      <c r="F12" s="12" t="s">
        <v>19</v>
      </c>
    </row>
    <row r="13" spans="1:6" ht="16.5" thickBot="1" x14ac:dyDescent="0.3">
      <c r="A13" s="41" t="s">
        <v>26</v>
      </c>
      <c r="B13" s="13" t="s">
        <v>25</v>
      </c>
      <c r="C13" s="14">
        <v>4.5</v>
      </c>
      <c r="D13" s="14">
        <v>0.9</v>
      </c>
      <c r="E13" s="14">
        <v>0.95</v>
      </c>
      <c r="F13" s="14" t="s">
        <v>19</v>
      </c>
    </row>
    <row r="14" spans="1:6" ht="16.5" thickBot="1" x14ac:dyDescent="0.3">
      <c r="A14" s="41" t="s">
        <v>28</v>
      </c>
      <c r="B14" s="13" t="s">
        <v>27</v>
      </c>
      <c r="C14" s="14">
        <v>3.5</v>
      </c>
      <c r="D14" s="14">
        <v>0.9</v>
      </c>
      <c r="E14" s="14">
        <v>0.85</v>
      </c>
      <c r="F14" s="14" t="s">
        <v>19</v>
      </c>
    </row>
    <row r="15" spans="1:6" s="38" customFormat="1" ht="48" thickBot="1" x14ac:dyDescent="0.3">
      <c r="A15" s="41" t="s">
        <v>184</v>
      </c>
      <c r="B15" s="7" t="s">
        <v>167</v>
      </c>
      <c r="C15" s="8">
        <v>4.9000000000000004</v>
      </c>
      <c r="D15" s="8">
        <v>0.95</v>
      </c>
      <c r="E15" s="8">
        <v>1</v>
      </c>
      <c r="F15" s="8">
        <v>0.9</v>
      </c>
    </row>
    <row r="16" spans="1:6" s="38" customFormat="1" ht="32.25" thickBot="1" x14ac:dyDescent="0.3">
      <c r="A16" s="41" t="s">
        <v>177</v>
      </c>
      <c r="B16" s="7" t="s">
        <v>168</v>
      </c>
      <c r="C16" s="8">
        <v>4.5999999999999996</v>
      </c>
      <c r="D16" s="8">
        <v>0.9</v>
      </c>
      <c r="E16" s="8">
        <v>0.95</v>
      </c>
      <c r="F16" s="8">
        <v>0.8</v>
      </c>
    </row>
    <row r="17" spans="1:6" s="38" customFormat="1" ht="32.25" thickBot="1" x14ac:dyDescent="0.3">
      <c r="A17" s="41" t="s">
        <v>178</v>
      </c>
      <c r="B17" s="9" t="s">
        <v>169</v>
      </c>
      <c r="C17" s="10">
        <v>4.3</v>
      </c>
      <c r="D17" s="10">
        <v>0.85</v>
      </c>
      <c r="E17" s="10">
        <v>0.9</v>
      </c>
      <c r="F17" s="10">
        <v>0.7</v>
      </c>
    </row>
    <row r="18" spans="1:6" s="38" customFormat="1" ht="32.25" thickBot="1" x14ac:dyDescent="0.3">
      <c r="A18" s="41" t="s">
        <v>179</v>
      </c>
      <c r="B18" s="9" t="s">
        <v>170</v>
      </c>
      <c r="C18" s="10">
        <v>3.9</v>
      </c>
      <c r="D18" s="10">
        <v>0.8</v>
      </c>
      <c r="E18" s="10">
        <v>0.85</v>
      </c>
      <c r="F18" s="10">
        <v>0.55000000000000004</v>
      </c>
    </row>
    <row r="19" spans="1:6" s="38" customFormat="1" ht="32.25" thickBot="1" x14ac:dyDescent="0.3">
      <c r="A19" s="41" t="s">
        <v>180</v>
      </c>
      <c r="B19" s="9" t="s">
        <v>171</v>
      </c>
      <c r="C19" s="10">
        <v>3.6</v>
      </c>
      <c r="D19" s="10">
        <v>0.78</v>
      </c>
      <c r="E19" s="10">
        <v>0.83</v>
      </c>
      <c r="F19" s="10">
        <v>0.42</v>
      </c>
    </row>
    <row r="20" spans="1:6" s="38" customFormat="1" ht="32.25" thickBot="1" x14ac:dyDescent="0.3">
      <c r="A20" s="41" t="s">
        <v>181</v>
      </c>
      <c r="B20" s="11" t="s">
        <v>172</v>
      </c>
      <c r="C20" s="12">
        <v>3.2</v>
      </c>
      <c r="D20" s="12">
        <v>0.75</v>
      </c>
      <c r="E20" s="12">
        <v>0.8</v>
      </c>
      <c r="F20" s="12" t="s">
        <v>19</v>
      </c>
    </row>
    <row r="21" spans="1:6" s="38" customFormat="1" ht="32.25" thickBot="1" x14ac:dyDescent="0.3">
      <c r="A21" s="41" t="s">
        <v>182</v>
      </c>
      <c r="B21" s="11" t="s">
        <v>173</v>
      </c>
      <c r="C21" s="12">
        <v>2.9</v>
      </c>
      <c r="D21" s="12">
        <v>0.7</v>
      </c>
      <c r="E21" s="12">
        <v>0.75</v>
      </c>
      <c r="F21" s="12" t="s">
        <v>19</v>
      </c>
    </row>
    <row r="22" spans="1:6" s="38" customFormat="1" ht="32.25" thickBot="1" x14ac:dyDescent="0.3">
      <c r="A22" s="41" t="s">
        <v>183</v>
      </c>
      <c r="B22" s="11" t="s">
        <v>174</v>
      </c>
      <c r="C22" s="12">
        <v>2.6</v>
      </c>
      <c r="D22" s="12">
        <v>0.65</v>
      </c>
      <c r="E22" s="12">
        <v>0.7</v>
      </c>
      <c r="F22" s="12" t="s">
        <v>19</v>
      </c>
    </row>
    <row r="23" spans="1:6" s="38" customFormat="1" ht="32.25" thickBot="1" x14ac:dyDescent="0.3">
      <c r="A23" s="41" t="s">
        <v>176</v>
      </c>
      <c r="B23" s="13" t="s">
        <v>175</v>
      </c>
      <c r="C23" s="14">
        <v>3.5</v>
      </c>
      <c r="D23" s="14">
        <v>0.9</v>
      </c>
      <c r="E23" s="14">
        <v>0.85</v>
      </c>
      <c r="F23" s="14" t="s">
        <v>19</v>
      </c>
    </row>
    <row r="24" spans="1:6" s="38" customFormat="1" ht="16.5" thickBot="1" x14ac:dyDescent="0.3">
      <c r="A24" s="41" t="s">
        <v>162</v>
      </c>
      <c r="B24" s="13" t="s">
        <v>138</v>
      </c>
      <c r="C24" s="14">
        <v>3</v>
      </c>
      <c r="D24" s="14">
        <v>0.75</v>
      </c>
      <c r="E24" s="14">
        <v>0.8</v>
      </c>
      <c r="F24" s="14">
        <v>0.8</v>
      </c>
    </row>
    <row r="25" spans="1:6" ht="48" thickBot="1" x14ac:dyDescent="0.3">
      <c r="A25" s="41" t="s">
        <v>30</v>
      </c>
      <c r="B25" s="15" t="s">
        <v>29</v>
      </c>
      <c r="C25" s="16">
        <v>3</v>
      </c>
      <c r="D25" s="16">
        <v>0.75</v>
      </c>
      <c r="E25" s="16">
        <v>0.8</v>
      </c>
      <c r="F25" s="16" t="s">
        <v>19</v>
      </c>
    </row>
    <row r="26" spans="1:6" ht="48" thickBot="1" x14ac:dyDescent="0.3">
      <c r="A26" s="41" t="s">
        <v>32</v>
      </c>
      <c r="B26" s="15" t="s">
        <v>31</v>
      </c>
      <c r="C26" s="16">
        <v>2.5</v>
      </c>
      <c r="D26" s="16">
        <v>0.65</v>
      </c>
      <c r="E26" s="16">
        <v>0.7</v>
      </c>
      <c r="F26" s="16"/>
    </row>
    <row r="27" spans="1:6" ht="32.25" thickBot="1" x14ac:dyDescent="0.3">
      <c r="A27" s="41" t="s">
        <v>34</v>
      </c>
      <c r="B27" s="15" t="s">
        <v>33</v>
      </c>
      <c r="C27" s="16">
        <v>2</v>
      </c>
      <c r="D27" s="16">
        <v>0.6</v>
      </c>
      <c r="E27" s="16">
        <v>0.65</v>
      </c>
      <c r="F27" s="16"/>
    </row>
    <row r="28" spans="1:6" ht="48" thickBot="1" x14ac:dyDescent="0.3">
      <c r="A28" s="41" t="s">
        <v>36</v>
      </c>
      <c r="B28" s="15" t="s">
        <v>35</v>
      </c>
      <c r="C28" s="16">
        <v>2.2999999999999998</v>
      </c>
      <c r="D28" s="16">
        <v>0.6</v>
      </c>
      <c r="E28" s="16">
        <v>0.65</v>
      </c>
      <c r="F28" s="16" t="s">
        <v>19</v>
      </c>
    </row>
    <row r="29" spans="1:6" ht="32.25" thickBot="1" x14ac:dyDescent="0.3">
      <c r="A29" s="41" t="s">
        <v>38</v>
      </c>
      <c r="B29" s="15" t="s">
        <v>37</v>
      </c>
      <c r="C29" s="16">
        <v>1.9</v>
      </c>
      <c r="D29" s="16">
        <v>0.55000000000000004</v>
      </c>
      <c r="E29" s="16">
        <v>0.6</v>
      </c>
      <c r="F29" s="16" t="s">
        <v>19</v>
      </c>
    </row>
    <row r="30" spans="1:6" ht="32.25" thickBot="1" x14ac:dyDescent="0.3">
      <c r="A30" s="41" t="s">
        <v>40</v>
      </c>
      <c r="B30" s="15" t="s">
        <v>39</v>
      </c>
      <c r="C30" s="16">
        <v>1.6</v>
      </c>
      <c r="D30" s="16">
        <v>0.5</v>
      </c>
      <c r="E30" s="16">
        <v>0.55000000000000004</v>
      </c>
      <c r="F30" s="16" t="s">
        <v>19</v>
      </c>
    </row>
    <row r="31" spans="1:6" ht="32.25" thickBot="1" x14ac:dyDescent="0.3">
      <c r="A31" s="41" t="s">
        <v>42</v>
      </c>
      <c r="B31" s="17" t="s">
        <v>41</v>
      </c>
      <c r="C31" s="18">
        <v>5</v>
      </c>
      <c r="D31" s="18"/>
      <c r="E31" s="18"/>
      <c r="F31" s="18"/>
    </row>
    <row r="32" spans="1:6" ht="32.25" thickBot="1" x14ac:dyDescent="0.3">
      <c r="A32" s="41" t="s">
        <v>44</v>
      </c>
      <c r="B32" s="17" t="s">
        <v>43</v>
      </c>
      <c r="C32" s="18">
        <v>5</v>
      </c>
      <c r="D32" s="18"/>
      <c r="E32" s="18"/>
      <c r="F32" s="18"/>
    </row>
    <row r="33" spans="1:6" ht="32.25" thickBot="1" x14ac:dyDescent="0.3">
      <c r="A33" s="41" t="s">
        <v>46</v>
      </c>
      <c r="B33" s="17" t="s">
        <v>45</v>
      </c>
      <c r="C33" s="18">
        <v>5</v>
      </c>
      <c r="D33" s="18"/>
      <c r="E33" s="18"/>
      <c r="F33" s="18"/>
    </row>
    <row r="34" spans="1:6" ht="32.25" thickBot="1" x14ac:dyDescent="0.3">
      <c r="A34" s="41" t="s">
        <v>48</v>
      </c>
      <c r="B34" s="17" t="s">
        <v>47</v>
      </c>
      <c r="C34" s="18">
        <v>5</v>
      </c>
      <c r="D34" s="18"/>
      <c r="E34" s="18"/>
      <c r="F34" s="18"/>
    </row>
    <row r="35" spans="1:6" ht="32.25" thickBot="1" x14ac:dyDescent="0.3">
      <c r="A35" s="41" t="s">
        <v>50</v>
      </c>
      <c r="B35" s="17" t="s">
        <v>49</v>
      </c>
      <c r="C35" s="18">
        <v>5</v>
      </c>
      <c r="D35" s="18"/>
      <c r="E35" s="18"/>
      <c r="F35" s="18"/>
    </row>
    <row r="36" spans="1:6" ht="32.25" thickBot="1" x14ac:dyDescent="0.3">
      <c r="A36" s="41" t="s">
        <v>52</v>
      </c>
      <c r="B36" s="17" t="s">
        <v>51</v>
      </c>
      <c r="C36" s="18">
        <v>5</v>
      </c>
      <c r="D36" s="18"/>
      <c r="E36" s="18"/>
      <c r="F36" s="18"/>
    </row>
    <row r="37" spans="1:6" ht="32.25" thickBot="1" x14ac:dyDescent="0.3">
      <c r="A37" s="41" t="s">
        <v>54</v>
      </c>
      <c r="B37" s="17" t="s">
        <v>53</v>
      </c>
      <c r="C37" s="18">
        <v>5</v>
      </c>
      <c r="D37" s="18"/>
      <c r="E37" s="18"/>
      <c r="F37" s="18"/>
    </row>
    <row r="38" spans="1:6" ht="32.25" thickBot="1" x14ac:dyDescent="0.3">
      <c r="A38" s="41" t="s">
        <v>56</v>
      </c>
      <c r="B38" s="19" t="s">
        <v>55</v>
      </c>
      <c r="C38" s="20">
        <v>1.2</v>
      </c>
      <c r="D38" s="20">
        <v>0.45</v>
      </c>
      <c r="E38" s="20">
        <v>0.5</v>
      </c>
      <c r="F38" s="20">
        <v>0.35</v>
      </c>
    </row>
    <row r="39" spans="1:6" ht="32.25" thickBot="1" x14ac:dyDescent="0.3">
      <c r="A39" s="41" t="s">
        <v>58</v>
      </c>
      <c r="B39" s="19" t="s">
        <v>57</v>
      </c>
      <c r="C39" s="20">
        <v>0.9</v>
      </c>
      <c r="D39" s="20">
        <v>0.4</v>
      </c>
      <c r="E39" s="20">
        <v>0.45</v>
      </c>
      <c r="F39" s="20">
        <v>0.3</v>
      </c>
    </row>
    <row r="40" spans="1:6" ht="32.25" thickBot="1" x14ac:dyDescent="0.3">
      <c r="A40" s="41" t="s">
        <v>60</v>
      </c>
      <c r="B40" s="19" t="s">
        <v>59</v>
      </c>
      <c r="C40" s="20">
        <v>0.5</v>
      </c>
      <c r="D40" s="20">
        <v>0.35</v>
      </c>
      <c r="E40" s="20">
        <v>0.4</v>
      </c>
      <c r="F40" s="20">
        <v>0.25</v>
      </c>
    </row>
    <row r="41" spans="1:6" ht="63.75" thickBot="1" x14ac:dyDescent="0.3">
      <c r="A41" s="41" t="s">
        <v>62</v>
      </c>
      <c r="B41" s="9" t="s">
        <v>61</v>
      </c>
      <c r="C41" s="10">
        <v>1.2</v>
      </c>
      <c r="D41" s="10">
        <v>0.45</v>
      </c>
      <c r="E41" s="10">
        <v>0.5</v>
      </c>
      <c r="F41" s="10">
        <v>0.35</v>
      </c>
    </row>
    <row r="42" spans="1:6" ht="63.75" thickBot="1" x14ac:dyDescent="0.3">
      <c r="A42" s="41" t="s">
        <v>64</v>
      </c>
      <c r="B42" s="9" t="s">
        <v>63</v>
      </c>
      <c r="C42" s="10">
        <v>0.9</v>
      </c>
      <c r="D42" s="10">
        <v>0.4</v>
      </c>
      <c r="E42" s="10">
        <v>0.45</v>
      </c>
      <c r="F42" s="10">
        <v>0.3</v>
      </c>
    </row>
    <row r="43" spans="1:6" ht="63.75" thickBot="1" x14ac:dyDescent="0.3">
      <c r="A43" s="41" t="s">
        <v>66</v>
      </c>
      <c r="B43" s="9" t="s">
        <v>65</v>
      </c>
      <c r="C43" s="10">
        <v>0.5</v>
      </c>
      <c r="D43" s="10">
        <v>0.35</v>
      </c>
      <c r="E43" s="10">
        <v>0.4</v>
      </c>
      <c r="F43" s="10">
        <v>0.25</v>
      </c>
    </row>
    <row r="44" spans="1:6" ht="32.25" thickBot="1" x14ac:dyDescent="0.3">
      <c r="A44" s="41" t="s">
        <v>68</v>
      </c>
      <c r="B44" s="21" t="s">
        <v>67</v>
      </c>
      <c r="C44" s="22">
        <v>4.5</v>
      </c>
      <c r="D44" s="22">
        <v>0.85</v>
      </c>
      <c r="E44" s="22">
        <v>0.9</v>
      </c>
      <c r="F44" s="22" t="s">
        <v>19</v>
      </c>
    </row>
    <row r="45" spans="1:6" ht="32.25" thickBot="1" x14ac:dyDescent="0.3">
      <c r="A45" s="41" t="s">
        <v>70</v>
      </c>
      <c r="B45" s="21" t="s">
        <v>69</v>
      </c>
      <c r="C45" s="22">
        <v>3.5</v>
      </c>
      <c r="D45" s="22">
        <v>0.75</v>
      </c>
      <c r="E45" s="22">
        <v>0.8</v>
      </c>
      <c r="F45" s="22" t="s">
        <v>19</v>
      </c>
    </row>
    <row r="46" spans="1:6" ht="16.5" thickBot="1" x14ac:dyDescent="0.3">
      <c r="A46" s="41" t="s">
        <v>72</v>
      </c>
      <c r="B46" s="21" t="s">
        <v>71</v>
      </c>
      <c r="C46" s="22">
        <v>2.7</v>
      </c>
      <c r="D46" s="22">
        <v>0.65</v>
      </c>
      <c r="E46" s="22">
        <v>0.7</v>
      </c>
      <c r="F46" s="22" t="s">
        <v>19</v>
      </c>
    </row>
    <row r="47" spans="1:6" ht="16.5" thickBot="1" x14ac:dyDescent="0.3">
      <c r="A47" s="41" t="s">
        <v>74</v>
      </c>
      <c r="B47" s="21" t="s">
        <v>73</v>
      </c>
      <c r="C47" s="22">
        <v>2.2000000000000002</v>
      </c>
      <c r="D47" s="22">
        <v>0.6</v>
      </c>
      <c r="E47" s="22">
        <v>0.65</v>
      </c>
      <c r="F47" s="22" t="s">
        <v>19</v>
      </c>
    </row>
    <row r="48" spans="1:6" ht="32.25" thickBot="1" x14ac:dyDescent="0.3">
      <c r="A48" s="41" t="s">
        <v>76</v>
      </c>
      <c r="B48" s="24" t="s">
        <v>75</v>
      </c>
      <c r="C48" s="25">
        <v>3</v>
      </c>
      <c r="D48" s="25">
        <v>0.75</v>
      </c>
      <c r="E48" s="25">
        <v>0.8</v>
      </c>
      <c r="F48" s="25" t="s">
        <v>19</v>
      </c>
    </row>
    <row r="49" spans="1:6" s="38" customFormat="1" ht="16.5" thickBot="1" x14ac:dyDescent="0.3">
      <c r="A49" s="73" t="s">
        <v>185</v>
      </c>
      <c r="B49" s="33" t="s">
        <v>186</v>
      </c>
      <c r="C49" s="34">
        <v>3</v>
      </c>
      <c r="D49" s="34">
        <v>0.75</v>
      </c>
      <c r="E49" s="34">
        <v>0.8</v>
      </c>
      <c r="F49" s="34" t="s">
        <v>19</v>
      </c>
    </row>
    <row r="50" spans="1:6" ht="16.5" thickBot="1" x14ac:dyDescent="0.3">
      <c r="A50" s="41" t="s">
        <v>78</v>
      </c>
      <c r="B50" s="24" t="s">
        <v>77</v>
      </c>
      <c r="C50" s="25">
        <v>2</v>
      </c>
      <c r="D50" s="25">
        <v>0.6</v>
      </c>
      <c r="E50" s="25">
        <v>0.65</v>
      </c>
      <c r="F50" s="25">
        <v>0.42</v>
      </c>
    </row>
    <row r="51" spans="1:6" s="28" customFormat="1" ht="16.5" thickBot="1" x14ac:dyDescent="0.3">
      <c r="A51" s="28" t="s">
        <v>101</v>
      </c>
      <c r="B51" s="33" t="s">
        <v>102</v>
      </c>
      <c r="C51" s="34">
        <v>0</v>
      </c>
      <c r="D51" s="34">
        <v>0</v>
      </c>
      <c r="E51" s="34">
        <v>0</v>
      </c>
      <c r="F51" s="34">
        <v>0</v>
      </c>
    </row>
    <row r="52" spans="1:6" ht="16.5" thickBot="1" x14ac:dyDescent="0.3">
      <c r="A52" t="s">
        <v>79</v>
      </c>
      <c r="B52" s="26" t="s">
        <v>99</v>
      </c>
      <c r="C52" s="27">
        <v>0</v>
      </c>
      <c r="D52" s="27">
        <v>0</v>
      </c>
      <c r="E52" s="27">
        <v>0</v>
      </c>
      <c r="F52" s="27">
        <v>0</v>
      </c>
    </row>
    <row r="53" spans="1:6" ht="16.5" thickBot="1" x14ac:dyDescent="0.3">
      <c r="A53" t="s">
        <v>95</v>
      </c>
      <c r="B53" s="26" t="s">
        <v>100</v>
      </c>
      <c r="C53" s="27">
        <v>0</v>
      </c>
      <c r="D53" s="27">
        <v>0</v>
      </c>
      <c r="E53" s="27">
        <v>0</v>
      </c>
      <c r="F53" s="27">
        <v>0</v>
      </c>
    </row>
    <row r="54" spans="1:6" ht="16.5" thickBot="1" x14ac:dyDescent="0.3">
      <c r="A54" t="s">
        <v>96</v>
      </c>
      <c r="B54" s="26" t="s">
        <v>98</v>
      </c>
      <c r="C54" s="27">
        <v>0.5</v>
      </c>
      <c r="D54" s="27">
        <v>0.35</v>
      </c>
      <c r="E54" s="27">
        <v>0.4</v>
      </c>
      <c r="F54" s="27">
        <v>0.25</v>
      </c>
    </row>
    <row r="55" spans="1:6" s="38" customFormat="1" ht="48" thickBot="1" x14ac:dyDescent="0.3">
      <c r="A55" s="41" t="s">
        <v>113</v>
      </c>
      <c r="B55" s="39" t="s">
        <v>139</v>
      </c>
      <c r="C55" s="40">
        <v>4.9000000000000004</v>
      </c>
      <c r="D55" s="40"/>
      <c r="E55" s="40"/>
      <c r="F55" s="40"/>
    </row>
    <row r="56" spans="1:6" s="38" customFormat="1" ht="48" thickBot="1" x14ac:dyDescent="0.3">
      <c r="A56" s="41" t="s">
        <v>114</v>
      </c>
      <c r="B56" s="39" t="s">
        <v>140</v>
      </c>
      <c r="C56" s="40">
        <v>4.5999999999999996</v>
      </c>
      <c r="D56" s="40"/>
      <c r="E56" s="40"/>
      <c r="F56" s="40"/>
    </row>
    <row r="57" spans="1:6" s="38" customFormat="1" ht="48" thickBot="1" x14ac:dyDescent="0.3">
      <c r="A57" s="41" t="s">
        <v>115</v>
      </c>
      <c r="B57" s="39" t="s">
        <v>141</v>
      </c>
      <c r="C57" s="40">
        <v>4.3</v>
      </c>
      <c r="D57" s="40"/>
      <c r="E57" s="40"/>
      <c r="F57" s="40"/>
    </row>
    <row r="58" spans="1:6" s="38" customFormat="1" ht="48" thickBot="1" x14ac:dyDescent="0.3">
      <c r="A58" s="41" t="s">
        <v>116</v>
      </c>
      <c r="B58" s="39" t="s">
        <v>142</v>
      </c>
      <c r="C58" s="40">
        <v>3.5</v>
      </c>
      <c r="D58" s="40"/>
      <c r="E58" s="40"/>
      <c r="F58" s="40"/>
    </row>
    <row r="59" spans="1:6" s="38" customFormat="1" ht="48" thickBot="1" x14ac:dyDescent="0.3">
      <c r="A59" s="41" t="s">
        <v>117</v>
      </c>
      <c r="B59" s="39" t="s">
        <v>143</v>
      </c>
      <c r="C59" s="40">
        <v>2.5</v>
      </c>
      <c r="D59" s="40"/>
      <c r="E59" s="40"/>
      <c r="F59" s="40"/>
    </row>
    <row r="60" spans="1:6" s="38" customFormat="1" ht="48" thickBot="1" x14ac:dyDescent="0.3">
      <c r="A60" s="41" t="s">
        <v>103</v>
      </c>
      <c r="B60" s="42" t="s">
        <v>144</v>
      </c>
      <c r="C60" s="43">
        <v>4.9000000000000004</v>
      </c>
      <c r="D60" s="43"/>
      <c r="E60" s="43"/>
      <c r="F60" s="43"/>
    </row>
    <row r="61" spans="1:6" s="38" customFormat="1" ht="48" thickBot="1" x14ac:dyDescent="0.3">
      <c r="A61" s="41" t="s">
        <v>104</v>
      </c>
      <c r="B61" s="42" t="s">
        <v>145</v>
      </c>
      <c r="C61" s="43">
        <v>4.5999999999999996</v>
      </c>
      <c r="D61" s="43"/>
      <c r="E61" s="43"/>
      <c r="F61" s="43"/>
    </row>
    <row r="62" spans="1:6" s="38" customFormat="1" ht="48" thickBot="1" x14ac:dyDescent="0.3">
      <c r="A62" s="41" t="s">
        <v>105</v>
      </c>
      <c r="B62" s="42" t="s">
        <v>146</v>
      </c>
      <c r="C62" s="43">
        <v>4.3</v>
      </c>
      <c r="D62" s="43"/>
      <c r="E62" s="43"/>
      <c r="F62" s="43"/>
    </row>
    <row r="63" spans="1:6" s="38" customFormat="1" ht="48" thickBot="1" x14ac:dyDescent="0.3">
      <c r="A63" s="41" t="s">
        <v>106</v>
      </c>
      <c r="B63" s="42" t="s">
        <v>147</v>
      </c>
      <c r="C63" s="43">
        <v>3.5</v>
      </c>
      <c r="D63" s="43"/>
      <c r="E63" s="43"/>
      <c r="F63" s="43"/>
    </row>
    <row r="64" spans="1:6" s="38" customFormat="1" ht="48" thickBot="1" x14ac:dyDescent="0.3">
      <c r="A64" s="41" t="s">
        <v>107</v>
      </c>
      <c r="B64" s="42" t="s">
        <v>148</v>
      </c>
      <c r="C64" s="43">
        <v>2.5</v>
      </c>
      <c r="D64" s="43"/>
      <c r="E64" s="43"/>
      <c r="F64" s="43"/>
    </row>
    <row r="65" spans="1:6" s="38" customFormat="1" ht="16.5" thickBot="1" x14ac:dyDescent="0.3">
      <c r="A65" s="41" t="s">
        <v>165</v>
      </c>
      <c r="B65" s="42" t="s">
        <v>166</v>
      </c>
      <c r="C65" s="43">
        <v>2.5</v>
      </c>
      <c r="D65" s="43"/>
      <c r="E65" s="43"/>
      <c r="F65" s="43"/>
    </row>
    <row r="66" spans="1:6" s="38" customFormat="1" ht="48" thickBot="1" x14ac:dyDescent="0.3">
      <c r="A66" s="41" t="s">
        <v>110</v>
      </c>
      <c r="B66" s="44" t="s">
        <v>149</v>
      </c>
      <c r="C66" s="45">
        <v>0</v>
      </c>
      <c r="D66" s="45"/>
      <c r="E66" s="45"/>
      <c r="F66" s="45"/>
    </row>
    <row r="67" spans="1:6" s="38" customFormat="1" ht="48" thickBot="1" x14ac:dyDescent="0.3">
      <c r="A67" s="41" t="s">
        <v>111</v>
      </c>
      <c r="B67" s="44" t="s">
        <v>150</v>
      </c>
      <c r="C67" s="45">
        <v>0</v>
      </c>
      <c r="D67" s="45"/>
      <c r="E67" s="45"/>
      <c r="F67" s="45"/>
    </row>
    <row r="68" spans="1:6" s="38" customFormat="1" ht="48" thickBot="1" x14ac:dyDescent="0.3">
      <c r="A68" s="41" t="s">
        <v>109</v>
      </c>
      <c r="B68" s="44" t="s">
        <v>151</v>
      </c>
      <c r="C68" s="45">
        <v>0</v>
      </c>
      <c r="D68" s="45"/>
      <c r="E68" s="45"/>
      <c r="F68" s="45"/>
    </row>
    <row r="69" spans="1:6" s="38" customFormat="1" ht="48" thickBot="1" x14ac:dyDescent="0.3">
      <c r="A69" s="41" t="s">
        <v>108</v>
      </c>
      <c r="B69" s="44" t="s">
        <v>152</v>
      </c>
      <c r="C69" s="45">
        <v>0</v>
      </c>
      <c r="D69" s="45"/>
      <c r="E69" s="45"/>
      <c r="F69" s="45"/>
    </row>
    <row r="70" spans="1:6" s="38" customFormat="1" ht="48" thickBot="1" x14ac:dyDescent="0.3">
      <c r="A70" s="41" t="s">
        <v>112</v>
      </c>
      <c r="B70" s="44" t="s">
        <v>153</v>
      </c>
      <c r="C70" s="45">
        <v>0</v>
      </c>
      <c r="D70" s="45"/>
      <c r="E70" s="45"/>
      <c r="F70" s="45"/>
    </row>
    <row r="71" spans="1:6" s="38" customFormat="1" ht="32.25" thickBot="1" x14ac:dyDescent="0.3">
      <c r="A71" s="41" t="s">
        <v>163</v>
      </c>
      <c r="B71" s="44" t="s">
        <v>164</v>
      </c>
      <c r="C71" s="45">
        <v>0</v>
      </c>
      <c r="D71" s="45"/>
      <c r="E71" s="45"/>
      <c r="F71" s="45"/>
    </row>
    <row r="72" spans="1:6" ht="16.5" thickBot="1" x14ac:dyDescent="0.3">
      <c r="A72" t="s">
        <v>89</v>
      </c>
      <c r="B72" s="26" t="s">
        <v>97</v>
      </c>
      <c r="C72" s="27">
        <v>0</v>
      </c>
      <c r="D72" s="27">
        <v>0</v>
      </c>
      <c r="E72" s="27">
        <v>0</v>
      </c>
      <c r="F72" s="27">
        <v>0</v>
      </c>
    </row>
    <row r="75" spans="1:6" x14ac:dyDescent="0.25">
      <c r="A75" t="s">
        <v>187</v>
      </c>
      <c r="B75" s="23">
        <v>1.25</v>
      </c>
      <c r="C75">
        <v>345</v>
      </c>
    </row>
    <row r="76" spans="1:6" x14ac:dyDescent="0.25">
      <c r="A76" t="s">
        <v>93</v>
      </c>
      <c r="B76" s="23">
        <v>1</v>
      </c>
      <c r="C76">
        <v>299</v>
      </c>
    </row>
    <row r="77" spans="1:6" x14ac:dyDescent="0.25">
      <c r="A77" t="s">
        <v>91</v>
      </c>
      <c r="B77" s="23">
        <v>1</v>
      </c>
      <c r="C77">
        <v>264</v>
      </c>
    </row>
    <row r="78" spans="1:6" x14ac:dyDescent="0.25">
      <c r="A78" t="s">
        <v>84</v>
      </c>
      <c r="B78" s="23">
        <v>0.83</v>
      </c>
      <c r="C78">
        <v>220</v>
      </c>
    </row>
    <row r="79" spans="1:6" x14ac:dyDescent="0.25">
      <c r="A79" t="s">
        <v>188</v>
      </c>
      <c r="B79" s="23">
        <v>0.67</v>
      </c>
      <c r="C79">
        <v>165</v>
      </c>
    </row>
    <row r="80" spans="1:6" s="38" customFormat="1" x14ac:dyDescent="0.25">
      <c r="A80" s="38" t="s">
        <v>87</v>
      </c>
      <c r="B80" s="23">
        <v>0.67</v>
      </c>
      <c r="C80" s="38">
        <v>165</v>
      </c>
    </row>
    <row r="81" spans="1:3" x14ac:dyDescent="0.25">
      <c r="A81" t="s">
        <v>92</v>
      </c>
      <c r="B81" s="23">
        <v>0.5</v>
      </c>
      <c r="C81">
        <v>110</v>
      </c>
    </row>
    <row r="88" spans="1:3" ht="105.6" customHeight="1" x14ac:dyDescent="0.25">
      <c r="B88" s="47" t="s">
        <v>119</v>
      </c>
    </row>
    <row r="89" spans="1:3" x14ac:dyDescent="0.25">
      <c r="B89" t="s">
        <v>120</v>
      </c>
    </row>
    <row r="90" spans="1:3" x14ac:dyDescent="0.25">
      <c r="B90" t="s">
        <v>121</v>
      </c>
    </row>
    <row r="91" spans="1:3" x14ac:dyDescent="0.25">
      <c r="B91" t="s">
        <v>122</v>
      </c>
    </row>
    <row r="94" spans="1:3" ht="165" x14ac:dyDescent="0.25">
      <c r="B94" s="46" t="s">
        <v>123</v>
      </c>
    </row>
    <row r="95" spans="1:3" x14ac:dyDescent="0.25">
      <c r="B95" t="s">
        <v>124</v>
      </c>
    </row>
    <row r="96" spans="1:3" x14ac:dyDescent="0.25">
      <c r="B96" t="s">
        <v>125</v>
      </c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</sheetData>
  <mergeCells count="1">
    <mergeCell ref="D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Z27"/>
  <sheetViews>
    <sheetView zoomScale="60" zoomScaleNormal="60" workbookViewId="0">
      <pane ySplit="1" topLeftCell="A2" activePane="bottomLeft" state="frozen"/>
      <selection pane="bottomLeft" activeCell="E5" sqref="E5"/>
    </sheetView>
  </sheetViews>
  <sheetFormatPr defaultColWidth="8.85546875" defaultRowHeight="15" x14ac:dyDescent="0.25"/>
  <cols>
    <col min="1" max="3" width="2.7109375" style="80" customWidth="1"/>
    <col min="4" max="4" width="10.7109375" style="80" customWidth="1"/>
    <col min="5" max="5" width="45.7109375" style="80" customWidth="1"/>
    <col min="6" max="6" width="9.7109375" style="80" customWidth="1"/>
    <col min="7" max="7" width="15.7109375" style="80" customWidth="1"/>
    <col min="8" max="8" width="25.7109375" style="80" customWidth="1"/>
    <col min="9" max="9" width="15.7109375" style="81" customWidth="1"/>
    <col min="10" max="10" width="70.7109375" style="80" customWidth="1"/>
    <col min="11" max="12" width="12.7109375" style="80" customWidth="1"/>
    <col min="13" max="13" width="13.7109375" style="82" customWidth="1"/>
    <col min="14" max="14" width="20.7109375" style="80" customWidth="1"/>
    <col min="15" max="15" width="5.85546875" style="80" customWidth="1"/>
    <col min="16" max="16" width="20.7109375" style="80" customWidth="1"/>
    <col min="17" max="18" width="65.7109375" style="80" customWidth="1"/>
    <col min="19" max="19" width="13.42578125" style="71" customWidth="1"/>
    <col min="20" max="23" width="20.7109375" style="80" customWidth="1"/>
    <col min="24" max="24" width="8.85546875" style="80" customWidth="1"/>
    <col min="25" max="25" width="8.85546875" style="80"/>
    <col min="26" max="26" width="16.5703125" style="80" customWidth="1"/>
    <col min="27" max="27" width="10.28515625" style="80" bestFit="1" customWidth="1"/>
    <col min="28" max="16384" width="8.85546875" style="80"/>
  </cols>
  <sheetData>
    <row r="1" spans="1:26" s="88" customFormat="1" ht="99.95" customHeight="1" x14ac:dyDescent="0.3">
      <c r="A1" s="86"/>
      <c r="B1" s="86"/>
      <c r="C1" s="86"/>
      <c r="D1" s="84" t="s">
        <v>128</v>
      </c>
      <c r="E1" s="84" t="s">
        <v>129</v>
      </c>
      <c r="F1" s="84" t="s">
        <v>83</v>
      </c>
      <c r="G1" s="84" t="s">
        <v>81</v>
      </c>
      <c r="H1" s="84" t="s">
        <v>131</v>
      </c>
      <c r="I1" s="87" t="s">
        <v>137</v>
      </c>
      <c r="J1" s="84" t="s">
        <v>132</v>
      </c>
      <c r="K1" s="84" t="s">
        <v>80</v>
      </c>
      <c r="L1" s="84" t="s">
        <v>90</v>
      </c>
      <c r="M1" s="84" t="s">
        <v>130</v>
      </c>
      <c r="N1" s="84" t="s">
        <v>131</v>
      </c>
      <c r="O1" s="86"/>
      <c r="P1" s="84" t="s">
        <v>160</v>
      </c>
      <c r="Q1" s="84" t="s">
        <v>126</v>
      </c>
      <c r="R1" s="84" t="s">
        <v>127</v>
      </c>
      <c r="S1" s="105"/>
      <c r="T1" s="85" t="s">
        <v>155</v>
      </c>
      <c r="U1" s="85" t="s">
        <v>156</v>
      </c>
      <c r="V1" s="85" t="s">
        <v>157</v>
      </c>
      <c r="W1" s="85" t="s">
        <v>158</v>
      </c>
      <c r="Z1" s="88" t="str">
        <f ca="1">IFERROR(INDIRECT(CONCATENATE(IF(ISBLANK(#REF!),#REF!,#REF!&amp; "."&amp;#REF!),"!O9")), "маршрута нет")</f>
        <v>маршрута нет</v>
      </c>
    </row>
    <row r="2" spans="1:26" x14ac:dyDescent="0.25">
      <c r="A2" s="69"/>
      <c r="B2" s="69"/>
      <c r="C2" s="69"/>
      <c r="D2" s="66"/>
      <c r="E2" s="75"/>
      <c r="F2" s="75"/>
      <c r="G2" s="75"/>
      <c r="H2" s="75"/>
      <c r="I2" s="76"/>
      <c r="J2" s="72"/>
      <c r="K2" s="77"/>
      <c r="L2" s="77"/>
      <c r="M2" s="78"/>
      <c r="N2" s="70"/>
      <c r="O2" s="79"/>
      <c r="P2" s="70"/>
      <c r="Q2" s="72"/>
      <c r="R2" s="72"/>
      <c r="S2" s="72"/>
      <c r="T2" s="66"/>
      <c r="U2" s="66"/>
      <c r="V2" s="70"/>
      <c r="W2" s="70"/>
    </row>
    <row r="3" spans="1:26" s="99" customFormat="1" x14ac:dyDescent="0.25">
      <c r="A3" s="89"/>
      <c r="B3" s="89"/>
      <c r="C3" s="89"/>
      <c r="D3" s="90"/>
      <c r="E3" s="91"/>
      <c r="F3" s="91"/>
      <c r="G3" s="91"/>
      <c r="H3" s="91"/>
      <c r="I3" s="92"/>
      <c r="J3" s="93"/>
      <c r="K3" s="94"/>
      <c r="L3" s="95"/>
      <c r="M3" s="96"/>
      <c r="N3" s="97"/>
      <c r="O3" s="98"/>
      <c r="P3" s="97"/>
      <c r="Q3" s="93"/>
      <c r="R3" s="93"/>
      <c r="S3" s="93"/>
      <c r="T3" s="90"/>
      <c r="U3" s="90"/>
      <c r="V3" s="97"/>
      <c r="W3" s="97"/>
    </row>
    <row r="4" spans="1:26" s="99" customFormat="1" x14ac:dyDescent="0.25">
      <c r="A4" s="89"/>
      <c r="B4" s="89"/>
      <c r="C4" s="89"/>
      <c r="D4" s="90"/>
      <c r="E4" s="91"/>
      <c r="F4" s="91"/>
      <c r="G4" s="91"/>
      <c r="H4" s="91"/>
      <c r="I4" s="92"/>
      <c r="J4" s="93"/>
      <c r="K4" s="94"/>
      <c r="L4" s="95"/>
      <c r="M4" s="96"/>
      <c r="N4" s="97"/>
      <c r="O4" s="98"/>
      <c r="P4" s="97"/>
      <c r="Q4" s="93"/>
      <c r="R4" s="93"/>
      <c r="S4" s="93"/>
      <c r="T4" s="90"/>
      <c r="U4" s="90"/>
      <c r="V4" s="97"/>
      <c r="W4" s="97"/>
    </row>
    <row r="5" spans="1:26" s="99" customFormat="1" x14ac:dyDescent="0.25">
      <c r="A5" s="89"/>
      <c r="B5" s="89"/>
      <c r="C5" s="89"/>
      <c r="D5" s="100"/>
      <c r="E5" s="91"/>
      <c r="F5" s="91"/>
      <c r="G5" s="91"/>
      <c r="H5" s="91"/>
      <c r="I5" s="92"/>
      <c r="J5" s="93"/>
      <c r="K5" s="94"/>
      <c r="L5" s="95"/>
      <c r="M5" s="96"/>
      <c r="N5" s="97"/>
      <c r="O5" s="98"/>
      <c r="P5" s="97"/>
      <c r="Q5" s="93"/>
      <c r="R5" s="101"/>
      <c r="S5" s="93"/>
      <c r="T5" s="93"/>
      <c r="U5" s="97"/>
      <c r="V5" s="97"/>
      <c r="W5" s="97"/>
    </row>
    <row r="6" spans="1:26" s="99" customFormat="1" x14ac:dyDescent="0.25">
      <c r="A6" s="89"/>
      <c r="B6" s="89"/>
      <c r="C6" s="89"/>
      <c r="D6" s="100"/>
      <c r="E6" s="91"/>
      <c r="F6" s="91"/>
      <c r="G6" s="91"/>
      <c r="H6" s="91"/>
      <c r="I6" s="92"/>
      <c r="J6" s="93"/>
      <c r="K6" s="94"/>
      <c r="L6" s="95"/>
      <c r="M6" s="96"/>
      <c r="N6" s="97"/>
      <c r="O6" s="98"/>
      <c r="P6" s="97"/>
      <c r="Q6" s="102"/>
      <c r="R6" s="101"/>
      <c r="S6" s="97"/>
      <c r="T6" s="97"/>
      <c r="U6" s="97"/>
      <c r="V6" s="97"/>
      <c r="W6" s="97"/>
    </row>
    <row r="7" spans="1:26" s="99" customFormat="1" x14ac:dyDescent="0.25">
      <c r="A7" s="89"/>
      <c r="B7" s="89"/>
      <c r="C7" s="89"/>
      <c r="D7" s="100"/>
      <c r="E7" s="91"/>
      <c r="F7" s="91"/>
      <c r="G7" s="91"/>
      <c r="H7" s="91"/>
      <c r="I7" s="92"/>
      <c r="J7" s="93"/>
      <c r="K7" s="94"/>
      <c r="L7" s="95"/>
      <c r="M7" s="96"/>
      <c r="N7" s="97"/>
      <c r="O7" s="98"/>
      <c r="P7" s="97"/>
      <c r="Q7" s="91"/>
      <c r="R7" s="101"/>
      <c r="S7" s="97"/>
      <c r="T7" s="97"/>
      <c r="U7" s="97"/>
      <c r="V7" s="97"/>
      <c r="W7" s="97"/>
    </row>
    <row r="8" spans="1:26" s="99" customFormat="1" x14ac:dyDescent="0.25">
      <c r="A8" s="89"/>
      <c r="B8" s="89"/>
      <c r="C8" s="89"/>
      <c r="D8" s="100"/>
      <c r="E8" s="91"/>
      <c r="F8" s="91"/>
      <c r="G8" s="91"/>
      <c r="H8" s="91"/>
      <c r="I8" s="92"/>
      <c r="J8" s="93"/>
      <c r="K8" s="94"/>
      <c r="L8" s="95"/>
      <c r="M8" s="96"/>
      <c r="N8" s="97"/>
      <c r="O8" s="98"/>
      <c r="P8" s="97"/>
      <c r="Q8" s="93"/>
      <c r="R8" s="101"/>
      <c r="S8" s="97"/>
      <c r="T8" s="97"/>
      <c r="U8" s="97"/>
      <c r="V8" s="97"/>
      <c r="W8" s="97"/>
    </row>
    <row r="9" spans="1:26" s="99" customFormat="1" x14ac:dyDescent="0.25">
      <c r="A9" s="89"/>
      <c r="B9" s="89"/>
      <c r="C9" s="89"/>
      <c r="D9" s="100"/>
      <c r="E9" s="91"/>
      <c r="F9" s="91"/>
      <c r="G9" s="91"/>
      <c r="H9" s="91"/>
      <c r="I9" s="92"/>
      <c r="J9" s="93"/>
      <c r="K9" s="94"/>
      <c r="L9" s="95"/>
      <c r="M9" s="96"/>
      <c r="N9" s="97"/>
      <c r="O9" s="98"/>
      <c r="P9" s="97"/>
      <c r="Q9" s="91"/>
      <c r="R9" s="101"/>
      <c r="S9" s="97"/>
      <c r="T9" s="97"/>
      <c r="U9" s="97"/>
      <c r="V9" s="97"/>
      <c r="W9" s="97"/>
    </row>
    <row r="10" spans="1:26" s="99" customFormat="1" x14ac:dyDescent="0.25">
      <c r="A10" s="89"/>
      <c r="B10" s="89"/>
      <c r="C10" s="89"/>
      <c r="D10" s="100"/>
      <c r="E10" s="93"/>
      <c r="F10" s="91"/>
      <c r="G10" s="91"/>
      <c r="H10" s="91"/>
      <c r="I10" s="92"/>
      <c r="J10" s="93"/>
      <c r="K10" s="94"/>
      <c r="L10" s="93"/>
      <c r="M10" s="101"/>
      <c r="N10" s="97"/>
      <c r="O10" s="98"/>
      <c r="P10" s="97"/>
      <c r="Q10" s="93"/>
      <c r="R10" s="102"/>
      <c r="S10" s="97"/>
      <c r="T10" s="97"/>
      <c r="U10" s="97"/>
      <c r="V10" s="97"/>
      <c r="W10" s="97"/>
    </row>
    <row r="11" spans="1:26" s="99" customFormat="1" x14ac:dyDescent="0.25">
      <c r="A11" s="89"/>
      <c r="B11" s="89"/>
      <c r="C11" s="89"/>
      <c r="D11" s="90"/>
      <c r="E11" s="91"/>
      <c r="F11" s="91"/>
      <c r="G11" s="91"/>
      <c r="H11" s="91"/>
      <c r="I11" s="92"/>
      <c r="J11" s="93"/>
      <c r="K11" s="94"/>
      <c r="L11" s="95"/>
      <c r="M11" s="96"/>
      <c r="N11" s="97"/>
      <c r="O11" s="98"/>
      <c r="P11" s="93"/>
      <c r="Q11" s="91"/>
      <c r="R11" s="93"/>
      <c r="S11" s="97"/>
      <c r="T11" s="97"/>
      <c r="U11" s="97"/>
      <c r="V11" s="97"/>
      <c r="W11" s="97"/>
    </row>
    <row r="12" spans="1:26" s="99" customFormat="1" x14ac:dyDescent="0.25">
      <c r="A12" s="89"/>
      <c r="B12" s="89"/>
      <c r="C12" s="89"/>
      <c r="D12" s="90"/>
      <c r="E12" s="91"/>
      <c r="F12" s="91"/>
      <c r="G12" s="91"/>
      <c r="H12" s="91"/>
      <c r="I12" s="92"/>
      <c r="J12" s="93"/>
      <c r="K12" s="94"/>
      <c r="L12" s="103"/>
      <c r="M12" s="96"/>
      <c r="N12" s="97"/>
      <c r="O12" s="98"/>
      <c r="P12" s="93"/>
      <c r="Q12" s="93"/>
      <c r="R12" s="91"/>
      <c r="S12" s="93"/>
      <c r="T12" s="93"/>
      <c r="U12" s="97"/>
      <c r="V12" s="97"/>
      <c r="W12" s="97"/>
    </row>
    <row r="13" spans="1:26" s="99" customFormat="1" x14ac:dyDescent="0.25">
      <c r="A13" s="89"/>
      <c r="B13" s="89"/>
      <c r="C13" s="89"/>
      <c r="D13" s="90"/>
      <c r="E13" s="91"/>
      <c r="F13" s="91"/>
      <c r="G13" s="91"/>
      <c r="H13" s="91"/>
      <c r="I13" s="92"/>
      <c r="J13" s="93"/>
      <c r="K13" s="94"/>
      <c r="L13" s="95"/>
      <c r="M13" s="96"/>
      <c r="N13" s="97"/>
      <c r="O13" s="98"/>
      <c r="P13" s="93"/>
      <c r="Q13" s="93"/>
      <c r="R13" s="93"/>
      <c r="S13" s="97"/>
      <c r="T13" s="97"/>
      <c r="U13" s="97"/>
      <c r="V13" s="97"/>
      <c r="W13" s="97"/>
    </row>
    <row r="14" spans="1:26" s="99" customFormat="1" x14ac:dyDescent="0.25">
      <c r="A14" s="89"/>
      <c r="B14" s="89"/>
      <c r="C14" s="89"/>
      <c r="D14" s="90"/>
      <c r="E14" s="93"/>
      <c r="F14" s="91"/>
      <c r="G14" s="91"/>
      <c r="H14" s="91"/>
      <c r="I14" s="92"/>
      <c r="J14" s="93"/>
      <c r="K14" s="94"/>
      <c r="L14" s="95"/>
      <c r="M14" s="96"/>
      <c r="N14" s="97"/>
      <c r="O14" s="98"/>
      <c r="P14" s="93"/>
      <c r="Q14" s="91"/>
      <c r="R14" s="93"/>
      <c r="S14" s="97"/>
      <c r="T14" s="97"/>
      <c r="U14" s="97"/>
      <c r="V14" s="97"/>
      <c r="W14" s="97"/>
    </row>
    <row r="15" spans="1:26" s="99" customFormat="1" x14ac:dyDescent="0.25">
      <c r="A15" s="89"/>
      <c r="B15" s="89"/>
      <c r="C15" s="89"/>
      <c r="D15" s="90"/>
      <c r="E15" s="93"/>
      <c r="F15" s="91"/>
      <c r="G15" s="91"/>
      <c r="H15" s="91"/>
      <c r="I15" s="92"/>
      <c r="J15" s="93"/>
      <c r="K15" s="94"/>
      <c r="L15" s="95"/>
      <c r="M15" s="96"/>
      <c r="N15" s="97"/>
      <c r="O15" s="98"/>
      <c r="P15" s="93"/>
      <c r="Q15" s="93"/>
      <c r="R15" s="93"/>
      <c r="S15" s="97"/>
      <c r="T15" s="97"/>
      <c r="U15" s="97"/>
      <c r="V15" s="97"/>
      <c r="W15" s="97"/>
    </row>
    <row r="16" spans="1:26" s="99" customFormat="1" x14ac:dyDescent="0.25">
      <c r="A16" s="89"/>
      <c r="B16" s="89"/>
      <c r="C16" s="89"/>
      <c r="D16" s="90"/>
      <c r="E16" s="91"/>
      <c r="F16" s="91"/>
      <c r="G16" s="91"/>
      <c r="H16" s="91"/>
      <c r="I16" s="92"/>
      <c r="J16" s="93"/>
      <c r="K16" s="94"/>
      <c r="L16" s="104"/>
      <c r="M16" s="96"/>
      <c r="N16" s="97"/>
      <c r="O16" s="98"/>
      <c r="P16" s="93"/>
      <c r="Q16" s="93"/>
      <c r="R16" s="93"/>
      <c r="S16" s="97"/>
      <c r="T16" s="97"/>
      <c r="U16" s="97"/>
      <c r="V16" s="97"/>
      <c r="W16" s="97"/>
    </row>
    <row r="17" spans="1:23" s="99" customFormat="1" x14ac:dyDescent="0.25">
      <c r="A17" s="89"/>
      <c r="B17" s="89"/>
      <c r="C17" s="89"/>
      <c r="D17" s="90"/>
      <c r="E17" s="91"/>
      <c r="F17" s="91"/>
      <c r="G17" s="91"/>
      <c r="H17" s="91"/>
      <c r="I17" s="92"/>
      <c r="J17" s="93"/>
      <c r="K17" s="94"/>
      <c r="L17" s="104"/>
      <c r="M17" s="96"/>
      <c r="N17" s="97"/>
      <c r="O17" s="98"/>
      <c r="P17" s="93"/>
      <c r="Q17" s="93"/>
      <c r="R17" s="93"/>
      <c r="S17" s="97"/>
      <c r="T17" s="97"/>
      <c r="U17" s="97"/>
      <c r="V17" s="97"/>
      <c r="W17" s="97"/>
    </row>
    <row r="18" spans="1:23" s="99" customFormat="1" x14ac:dyDescent="0.25">
      <c r="A18" s="89"/>
      <c r="B18" s="89"/>
      <c r="C18" s="89"/>
      <c r="D18" s="90"/>
      <c r="E18" s="91"/>
      <c r="F18" s="91"/>
      <c r="G18" s="91"/>
      <c r="H18" s="91"/>
      <c r="I18" s="92"/>
      <c r="J18" s="93"/>
      <c r="K18" s="94"/>
      <c r="L18" s="104"/>
      <c r="M18" s="96"/>
      <c r="N18" s="97"/>
      <c r="O18" s="98"/>
      <c r="P18" s="93"/>
      <c r="Q18" s="91"/>
      <c r="R18" s="93"/>
      <c r="S18" s="97"/>
      <c r="T18" s="97"/>
      <c r="U18" s="97"/>
      <c r="V18" s="97"/>
      <c r="W18" s="97"/>
    </row>
    <row r="19" spans="1:23" s="99" customFormat="1" x14ac:dyDescent="0.25">
      <c r="A19" s="89"/>
      <c r="B19" s="89"/>
      <c r="C19" s="89"/>
      <c r="D19" s="90"/>
      <c r="E19" s="91"/>
      <c r="F19" s="91"/>
      <c r="G19" s="91"/>
      <c r="H19" s="91"/>
      <c r="I19" s="92"/>
      <c r="J19" s="93"/>
      <c r="K19" s="94"/>
      <c r="L19" s="104"/>
      <c r="M19" s="96"/>
      <c r="N19" s="97"/>
      <c r="O19" s="98"/>
      <c r="P19" s="93"/>
      <c r="Q19" s="93"/>
      <c r="R19" s="93"/>
      <c r="S19" s="97"/>
      <c r="T19" s="97"/>
      <c r="U19" s="97"/>
      <c r="V19" s="97"/>
      <c r="W19" s="97"/>
    </row>
    <row r="20" spans="1:23" s="99" customFormat="1" x14ac:dyDescent="0.25">
      <c r="A20" s="89"/>
      <c r="B20" s="89"/>
      <c r="C20" s="89"/>
      <c r="D20" s="90"/>
      <c r="E20" s="91"/>
      <c r="F20" s="91"/>
      <c r="G20" s="91"/>
      <c r="H20" s="91"/>
      <c r="I20" s="92"/>
      <c r="J20" s="93"/>
      <c r="K20" s="94"/>
      <c r="L20" s="104"/>
      <c r="M20" s="96"/>
      <c r="N20" s="97"/>
      <c r="O20" s="98"/>
      <c r="P20" s="93"/>
      <c r="Q20" s="93"/>
      <c r="R20" s="93"/>
      <c r="S20" s="97"/>
      <c r="T20" s="97"/>
      <c r="U20" s="97"/>
      <c r="V20" s="97"/>
      <c r="W20" s="97"/>
    </row>
    <row r="21" spans="1:23" s="99" customFormat="1" x14ac:dyDescent="0.25">
      <c r="A21" s="89"/>
      <c r="B21" s="89"/>
      <c r="C21" s="89"/>
      <c r="D21" s="90"/>
      <c r="E21" s="93"/>
      <c r="F21" s="91"/>
      <c r="G21" s="91"/>
      <c r="H21" s="91"/>
      <c r="I21" s="94"/>
      <c r="J21" s="93"/>
      <c r="K21" s="94"/>
      <c r="L21" s="104"/>
      <c r="M21" s="96"/>
      <c r="N21" s="97"/>
      <c r="O21" s="98"/>
      <c r="P21" s="93"/>
      <c r="Q21" s="93"/>
      <c r="R21" s="93"/>
      <c r="S21" s="97"/>
      <c r="T21" s="97"/>
      <c r="U21" s="97"/>
      <c r="V21" s="97"/>
      <c r="W21" s="97"/>
    </row>
    <row r="22" spans="1:23" s="99" customFormat="1" x14ac:dyDescent="0.25">
      <c r="A22" s="89"/>
      <c r="B22" s="89"/>
      <c r="C22" s="89"/>
      <c r="D22" s="90"/>
      <c r="E22" s="91"/>
      <c r="F22" s="91"/>
      <c r="G22" s="91"/>
      <c r="H22" s="91"/>
      <c r="I22" s="92"/>
      <c r="J22" s="92"/>
      <c r="K22" s="94"/>
      <c r="L22" s="104"/>
      <c r="M22" s="96"/>
      <c r="N22" s="97"/>
      <c r="O22" s="98"/>
      <c r="P22" s="93"/>
      <c r="Q22" s="91"/>
      <c r="R22" s="91"/>
      <c r="S22" s="97"/>
      <c r="T22" s="97"/>
      <c r="U22" s="97"/>
      <c r="V22" s="97"/>
      <c r="W22" s="97"/>
    </row>
    <row r="23" spans="1:23" s="99" customFormat="1" x14ac:dyDescent="0.25">
      <c r="A23" s="89"/>
      <c r="B23" s="89"/>
      <c r="C23" s="89"/>
      <c r="D23" s="90"/>
      <c r="E23" s="91"/>
      <c r="F23" s="91"/>
      <c r="G23" s="91"/>
      <c r="H23" s="91"/>
      <c r="I23" s="92"/>
      <c r="J23" s="92"/>
      <c r="K23" s="94"/>
      <c r="L23" s="104"/>
      <c r="M23" s="96"/>
      <c r="N23" s="97"/>
      <c r="O23" s="98"/>
      <c r="P23" s="97"/>
      <c r="Q23" s="91"/>
      <c r="R23" s="91"/>
      <c r="S23" s="97"/>
      <c r="T23" s="97"/>
      <c r="U23" s="97"/>
      <c r="V23" s="97"/>
      <c r="W23" s="97"/>
    </row>
    <row r="24" spans="1:23" s="99" customFormat="1" x14ac:dyDescent="0.25">
      <c r="A24" s="89"/>
      <c r="B24" s="89"/>
      <c r="C24" s="89"/>
      <c r="D24" s="90"/>
      <c r="E24" s="91"/>
      <c r="F24" s="91"/>
      <c r="G24" s="91"/>
      <c r="H24" s="91"/>
      <c r="I24" s="103"/>
      <c r="J24" s="92"/>
      <c r="K24" s="94"/>
      <c r="L24" s="103"/>
      <c r="M24" s="91"/>
      <c r="N24" s="97"/>
      <c r="O24" s="98"/>
      <c r="P24" s="97"/>
      <c r="Q24" s="91"/>
      <c r="R24" s="91"/>
      <c r="S24" s="97"/>
      <c r="T24" s="97"/>
      <c r="U24" s="97"/>
      <c r="V24" s="97"/>
      <c r="W24" s="97"/>
    </row>
    <row r="25" spans="1:23" s="99" customFormat="1" x14ac:dyDescent="0.25">
      <c r="A25" s="89"/>
      <c r="B25" s="89"/>
      <c r="C25" s="89"/>
      <c r="D25" s="90"/>
      <c r="E25" s="91"/>
      <c r="F25" s="91"/>
      <c r="G25" s="91"/>
      <c r="H25" s="91"/>
      <c r="I25" s="92"/>
      <c r="J25" s="92"/>
      <c r="K25" s="94"/>
      <c r="L25" s="104"/>
      <c r="M25" s="96"/>
      <c r="N25" s="97"/>
      <c r="O25" s="98"/>
      <c r="P25" s="97"/>
      <c r="Q25" s="91"/>
      <c r="R25" s="91"/>
      <c r="S25" s="97"/>
      <c r="T25" s="97"/>
      <c r="U25" s="97"/>
      <c r="V25" s="97"/>
      <c r="W25" s="97"/>
    </row>
    <row r="26" spans="1:23" s="99" customFormat="1" x14ac:dyDescent="0.25">
      <c r="A26" s="89"/>
      <c r="B26" s="89"/>
      <c r="C26" s="89"/>
      <c r="D26" s="90"/>
      <c r="E26" s="91"/>
      <c r="F26" s="91"/>
      <c r="G26" s="91"/>
      <c r="H26" s="91"/>
      <c r="I26" s="92"/>
      <c r="J26" s="92"/>
      <c r="K26" s="94"/>
      <c r="L26" s="104"/>
      <c r="M26" s="96"/>
      <c r="N26" s="97"/>
      <c r="O26" s="98"/>
      <c r="P26" s="93"/>
      <c r="Q26" s="91"/>
      <c r="R26" s="91"/>
      <c r="S26" s="97"/>
      <c r="T26" s="97"/>
      <c r="U26" s="97"/>
      <c r="V26" s="97"/>
      <c r="W26" s="97"/>
    </row>
    <row r="27" spans="1:23" s="99" customFormat="1" x14ac:dyDescent="0.25">
      <c r="A27" s="89"/>
      <c r="B27" s="89"/>
      <c r="C27" s="89"/>
      <c r="D27" s="90"/>
      <c r="E27" s="91"/>
      <c r="F27" s="91"/>
      <c r="G27" s="91"/>
      <c r="H27" s="91"/>
      <c r="I27" s="91"/>
      <c r="J27" s="91"/>
      <c r="K27" s="94"/>
      <c r="L27" s="91"/>
      <c r="M27" s="91"/>
      <c r="N27" s="97"/>
      <c r="O27" s="92"/>
      <c r="P27" s="91"/>
      <c r="Q27" s="91"/>
      <c r="R27" s="91"/>
      <c r="S27" s="97"/>
      <c r="T27" s="97"/>
      <c r="U27" s="97"/>
      <c r="V27" s="97"/>
      <c r="W27" s="97"/>
    </row>
  </sheetData>
  <phoneticPr fontId="12" type="noConversion"/>
  <conditionalFormatting sqref="D1:D1048576">
    <cfRule type="duplicateValues" dxfId="6" priority="6"/>
  </conditionalFormatting>
  <conditionalFormatting sqref="T1:W1048576">
    <cfRule type="expression" dxfId="5" priority="5">
      <formula>NOT(ISBLANK(T1))</formula>
    </cfRule>
  </conditionalFormatting>
  <conditionalFormatting sqref="F1:I1048576">
    <cfRule type="containsBlanks" dxfId="4" priority="8">
      <formula>LEN(TRIM(F1))=0</formula>
    </cfRule>
  </conditionalFormatting>
  <conditionalFormatting sqref="K1:K1048576">
    <cfRule type="containsBlanks" dxfId="3" priority="7">
      <formula>LEN(TRIM(K1))=0</formula>
    </cfRule>
  </conditionalFormatting>
  <conditionalFormatting sqref="L2:L1048576">
    <cfRule type="expression" dxfId="2" priority="2">
      <formula>AND(AE2&lt;&gt;"", AE2&lt;&gt;0)</formula>
    </cfRule>
  </conditionalFormatting>
  <conditionalFormatting sqref="Q1:R1048576">
    <cfRule type="containsBlanks" dxfId="1" priority="1">
      <formula>LEN(TRIM(Q1))=0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L29"/>
  <sheetViews>
    <sheetView workbookViewId="0">
      <selection activeCell="C11" sqref="C11"/>
    </sheetView>
  </sheetViews>
  <sheetFormatPr defaultColWidth="8.85546875" defaultRowHeight="15" x14ac:dyDescent="0.25"/>
  <cols>
    <col min="1" max="1" width="8.85546875" style="38"/>
    <col min="2" max="2" width="48.7109375" style="38" customWidth="1"/>
    <col min="3" max="3" width="9.7109375" style="38" customWidth="1"/>
    <col min="4" max="4" width="19.7109375" style="38" customWidth="1"/>
    <col min="5" max="5" width="17.42578125" style="54" customWidth="1"/>
    <col min="6" max="6" width="15.42578125" style="38" customWidth="1"/>
    <col min="7" max="7" width="19.7109375" style="38" customWidth="1"/>
    <col min="8" max="8" width="22.28515625" customWidth="1"/>
    <col min="9" max="12" width="15.7109375" style="38" customWidth="1"/>
    <col min="13" max="16384" width="8.85546875" style="38"/>
  </cols>
  <sheetData>
    <row r="1" spans="1:12" ht="32.450000000000003" customHeight="1" x14ac:dyDescent="0.25">
      <c r="A1" s="60" t="s">
        <v>128</v>
      </c>
      <c r="B1" s="60" t="s">
        <v>129</v>
      </c>
      <c r="C1" s="60" t="s">
        <v>83</v>
      </c>
      <c r="D1" s="60" t="s">
        <v>81</v>
      </c>
      <c r="E1" s="61" t="s">
        <v>137</v>
      </c>
      <c r="F1" s="60" t="s">
        <v>90</v>
      </c>
      <c r="G1" s="58" t="s">
        <v>131</v>
      </c>
      <c r="I1" s="63" t="s">
        <v>155</v>
      </c>
      <c r="J1" s="63" t="s">
        <v>156</v>
      </c>
      <c r="K1" s="63" t="s">
        <v>157</v>
      </c>
      <c r="L1" s="63" t="s">
        <v>158</v>
      </c>
    </row>
    <row r="2" spans="1:12" ht="24.95" customHeight="1" x14ac:dyDescent="0.25">
      <c r="A2" s="57"/>
      <c r="B2" s="57"/>
      <c r="C2" s="57"/>
      <c r="D2" s="57"/>
      <c r="E2" s="67"/>
      <c r="F2" s="59"/>
      <c r="G2" s="74"/>
      <c r="H2" s="68"/>
      <c r="I2" s="64"/>
      <c r="J2" s="64"/>
      <c r="K2" s="64"/>
      <c r="L2" s="64"/>
    </row>
    <row r="3" spans="1:12" ht="24.95" customHeight="1" x14ac:dyDescent="0.25">
      <c r="A3" s="57"/>
      <c r="B3" s="57"/>
      <c r="C3" s="57"/>
      <c r="D3" s="57"/>
      <c r="E3" s="67"/>
      <c r="F3" s="59"/>
      <c r="G3" s="74"/>
      <c r="H3" s="68"/>
      <c r="I3" s="64"/>
      <c r="J3" s="64"/>
      <c r="K3" s="64"/>
      <c r="L3" s="64"/>
    </row>
    <row r="4" spans="1:12" ht="24.95" customHeight="1" x14ac:dyDescent="0.25">
      <c r="A4" s="57"/>
      <c r="B4" s="57"/>
      <c r="C4" s="57"/>
      <c r="D4" s="57"/>
      <c r="E4" s="67"/>
      <c r="F4" s="59"/>
      <c r="G4" s="74"/>
      <c r="H4" s="68"/>
      <c r="I4" s="64"/>
      <c r="J4" s="64"/>
      <c r="K4" s="64"/>
      <c r="L4" s="64"/>
    </row>
    <row r="5" spans="1:12" ht="24.95" customHeight="1" x14ac:dyDescent="0.25">
      <c r="A5" s="57"/>
      <c r="B5" s="57"/>
      <c r="C5" s="57"/>
      <c r="D5" s="57"/>
      <c r="E5" s="67"/>
      <c r="F5" s="59"/>
      <c r="G5" s="74"/>
      <c r="H5" s="68"/>
      <c r="I5" s="64"/>
      <c r="J5" s="64"/>
      <c r="K5" s="64"/>
      <c r="L5" s="64"/>
    </row>
    <row r="6" spans="1:12" ht="24.95" customHeight="1" x14ac:dyDescent="0.25">
      <c r="A6" s="57"/>
      <c r="B6" s="57"/>
      <c r="C6" s="57"/>
      <c r="D6" s="57"/>
      <c r="E6" s="67"/>
      <c r="F6" s="59"/>
      <c r="G6" s="74"/>
      <c r="H6" s="68"/>
      <c r="I6" s="64"/>
      <c r="J6" s="64"/>
      <c r="K6" s="64"/>
      <c r="L6" s="64"/>
    </row>
    <row r="7" spans="1:12" ht="24.95" customHeight="1" x14ac:dyDescent="0.25">
      <c r="A7" s="57"/>
      <c r="B7" s="57"/>
      <c r="C7" s="57"/>
      <c r="D7" s="57"/>
      <c r="E7" s="67"/>
      <c r="F7" s="59"/>
      <c r="G7" s="74"/>
      <c r="H7" s="68"/>
      <c r="I7" s="64"/>
      <c r="J7" s="64"/>
      <c r="K7" s="64"/>
      <c r="L7" s="64"/>
    </row>
    <row r="8" spans="1:12" ht="24.95" customHeight="1" x14ac:dyDescent="0.25">
      <c r="A8" s="57"/>
      <c r="B8" s="57"/>
      <c r="C8" s="57"/>
      <c r="D8" s="57"/>
      <c r="E8" s="67"/>
      <c r="F8" s="59"/>
      <c r="G8" s="74"/>
      <c r="H8" s="68"/>
      <c r="I8" s="64"/>
      <c r="J8" s="64"/>
      <c r="K8" s="64"/>
      <c r="L8" s="64"/>
    </row>
    <row r="9" spans="1:12" ht="24.95" customHeight="1" x14ac:dyDescent="0.25">
      <c r="A9" s="57"/>
      <c r="B9" s="57"/>
      <c r="C9" s="57"/>
      <c r="D9" s="57"/>
      <c r="E9" s="67"/>
      <c r="F9" s="59"/>
      <c r="G9" s="74"/>
      <c r="H9" s="68"/>
      <c r="I9" s="64"/>
      <c r="J9" s="64"/>
      <c r="K9" s="64"/>
      <c r="L9" s="64"/>
    </row>
    <row r="10" spans="1:12" ht="24.95" customHeight="1" x14ac:dyDescent="0.25">
      <c r="A10" s="57"/>
      <c r="B10" s="57"/>
      <c r="C10" s="57"/>
      <c r="D10" s="57"/>
      <c r="E10" s="67"/>
      <c r="F10" s="59"/>
      <c r="G10" s="74"/>
      <c r="H10" s="68"/>
      <c r="I10" s="64"/>
      <c r="J10" s="64"/>
      <c r="K10" s="64"/>
      <c r="L10" s="64"/>
    </row>
    <row r="11" spans="1:12" ht="24.95" customHeight="1" x14ac:dyDescent="0.25">
      <c r="A11" s="57"/>
      <c r="B11" s="57"/>
      <c r="C11" s="57"/>
      <c r="D11" s="57"/>
      <c r="E11" s="67"/>
      <c r="F11" s="59"/>
      <c r="G11" s="74"/>
      <c r="H11" s="68"/>
      <c r="I11" s="64"/>
      <c r="J11" s="64"/>
      <c r="K11" s="64"/>
      <c r="L11" s="64"/>
    </row>
    <row r="12" spans="1:12" ht="24.95" customHeight="1" x14ac:dyDescent="0.25">
      <c r="A12" s="57"/>
      <c r="B12" s="57"/>
      <c r="C12" s="57"/>
      <c r="D12" s="57"/>
      <c r="E12" s="67"/>
      <c r="F12" s="59"/>
      <c r="G12" s="74"/>
      <c r="H12" s="68"/>
      <c r="I12" s="64"/>
      <c r="J12" s="64"/>
      <c r="K12" s="64"/>
      <c r="L12" s="64"/>
    </row>
    <row r="13" spans="1:12" ht="24.95" customHeight="1" x14ac:dyDescent="0.25">
      <c r="A13" s="57"/>
      <c r="B13" s="57"/>
      <c r="C13" s="57"/>
      <c r="D13" s="57"/>
      <c r="E13" s="67"/>
      <c r="F13" s="59"/>
      <c r="G13" s="74"/>
      <c r="H13" s="68"/>
      <c r="I13" s="64"/>
      <c r="J13" s="64"/>
      <c r="K13" s="64"/>
      <c r="L13" s="64"/>
    </row>
    <row r="14" spans="1:12" ht="24.95" customHeight="1" x14ac:dyDescent="0.25">
      <c r="A14" s="57"/>
      <c r="B14" s="57"/>
      <c r="C14" s="57"/>
      <c r="D14" s="57"/>
      <c r="E14" s="67"/>
      <c r="F14" s="59"/>
      <c r="G14" s="74"/>
      <c r="H14" s="68"/>
      <c r="I14" s="64"/>
      <c r="J14" s="64"/>
      <c r="K14" s="64"/>
      <c r="L14" s="64"/>
    </row>
    <row r="15" spans="1:12" ht="24.95" customHeight="1" x14ac:dyDescent="0.25">
      <c r="A15" s="57"/>
      <c r="B15" s="57"/>
      <c r="C15" s="57"/>
      <c r="D15" s="57"/>
      <c r="E15" s="67"/>
      <c r="F15" s="59"/>
      <c r="G15" s="74"/>
      <c r="H15" s="68"/>
      <c r="I15" s="64"/>
      <c r="J15" s="64"/>
      <c r="K15" s="64"/>
      <c r="L15" s="64"/>
    </row>
    <row r="16" spans="1:12" ht="24.95" customHeight="1" x14ac:dyDescent="0.25">
      <c r="A16" s="57"/>
      <c r="B16" s="57"/>
      <c r="C16" s="57"/>
      <c r="D16" s="57"/>
      <c r="E16" s="67"/>
      <c r="F16" s="59"/>
      <c r="G16" s="74"/>
      <c r="H16" s="68"/>
      <c r="I16" s="64"/>
      <c r="J16" s="64"/>
      <c r="K16" s="64"/>
      <c r="L16" s="64"/>
    </row>
    <row r="17" spans="1:12" ht="24.95" customHeight="1" x14ac:dyDescent="0.25">
      <c r="A17" s="57"/>
      <c r="B17" s="57"/>
      <c r="C17" s="57"/>
      <c r="D17" s="57"/>
      <c r="E17" s="67"/>
      <c r="F17" s="59"/>
      <c r="G17" s="74"/>
      <c r="H17" s="68"/>
      <c r="I17" s="64"/>
      <c r="J17" s="64"/>
      <c r="K17" s="64"/>
      <c r="L17" s="64"/>
    </row>
    <row r="18" spans="1:12" ht="24.95" customHeight="1" x14ac:dyDescent="0.25">
      <c r="A18" s="57"/>
      <c r="B18" s="57"/>
      <c r="C18" s="57"/>
      <c r="D18" s="57"/>
      <c r="E18" s="67"/>
      <c r="F18" s="59"/>
      <c r="G18" s="74"/>
      <c r="H18" s="68"/>
      <c r="I18" s="64"/>
      <c r="J18" s="64"/>
      <c r="K18" s="64"/>
      <c r="L18" s="64"/>
    </row>
    <row r="19" spans="1:12" ht="24.95" customHeight="1" x14ac:dyDescent="0.25">
      <c r="A19" s="57"/>
      <c r="B19" s="57"/>
      <c r="C19" s="57"/>
      <c r="D19" s="57"/>
      <c r="E19" s="67"/>
      <c r="F19" s="59"/>
      <c r="G19" s="74"/>
      <c r="H19" s="68"/>
      <c r="I19" s="64"/>
      <c r="J19" s="64"/>
      <c r="K19" s="64"/>
      <c r="L19" s="64"/>
    </row>
    <row r="20" spans="1:12" ht="24.95" customHeight="1" x14ac:dyDescent="0.25">
      <c r="A20" s="57"/>
      <c r="B20" s="57"/>
      <c r="C20" s="57"/>
      <c r="D20" s="57"/>
      <c r="E20" s="67"/>
      <c r="F20" s="59"/>
      <c r="G20" s="74"/>
      <c r="H20" s="68"/>
      <c r="I20" s="64"/>
      <c r="J20" s="64"/>
      <c r="K20" s="64"/>
      <c r="L20" s="64"/>
    </row>
    <row r="21" spans="1:12" ht="24.95" customHeight="1" x14ac:dyDescent="0.25">
      <c r="A21" s="57"/>
      <c r="B21" s="57"/>
      <c r="C21" s="57"/>
      <c r="D21" s="57"/>
      <c r="E21" s="67"/>
      <c r="F21" s="59"/>
      <c r="G21" s="74"/>
      <c r="H21" s="68"/>
      <c r="I21" s="64"/>
      <c r="J21" s="64"/>
      <c r="K21" s="64"/>
      <c r="L21" s="64"/>
    </row>
    <row r="22" spans="1:12" ht="24.95" customHeight="1" x14ac:dyDescent="0.25">
      <c r="A22" s="57"/>
      <c r="B22" s="57"/>
      <c r="C22" s="57"/>
      <c r="D22" s="57"/>
      <c r="E22" s="67"/>
      <c r="F22" s="59"/>
      <c r="G22" s="74"/>
      <c r="H22" s="68"/>
      <c r="I22" s="64"/>
      <c r="J22" s="64"/>
      <c r="K22" s="64"/>
      <c r="L22" s="64"/>
    </row>
    <row r="23" spans="1:12" ht="24.95" customHeight="1" x14ac:dyDescent="0.25">
      <c r="A23" s="57"/>
      <c r="B23" s="57"/>
      <c r="C23" s="57"/>
      <c r="D23" s="57"/>
      <c r="E23" s="67"/>
      <c r="F23" s="59"/>
      <c r="G23" s="74"/>
      <c r="H23" s="68"/>
      <c r="I23" s="64"/>
      <c r="J23" s="64"/>
      <c r="K23" s="64"/>
      <c r="L23" s="64"/>
    </row>
    <row r="24" spans="1:12" ht="24.95" customHeight="1" x14ac:dyDescent="0.25">
      <c r="A24" s="57"/>
      <c r="B24" s="57"/>
      <c r="C24" s="57"/>
      <c r="D24" s="57"/>
      <c r="E24" s="67"/>
      <c r="F24" s="59"/>
      <c r="G24" s="74"/>
      <c r="H24" s="68"/>
      <c r="I24" s="64"/>
      <c r="J24" s="64"/>
      <c r="K24" s="64"/>
      <c r="L24" s="64"/>
    </row>
    <row r="25" spans="1:12" ht="24.95" customHeight="1" x14ac:dyDescent="0.25">
      <c r="A25" s="57"/>
      <c r="B25" s="57"/>
      <c r="C25" s="57"/>
      <c r="D25" s="57"/>
      <c r="E25" s="67"/>
      <c r="F25" s="59"/>
      <c r="G25" s="74"/>
      <c r="H25" s="68"/>
      <c r="I25" s="64"/>
      <c r="J25" s="64"/>
      <c r="K25" s="64"/>
      <c r="L25" s="64"/>
    </row>
    <row r="26" spans="1:12" ht="24.95" customHeight="1" x14ac:dyDescent="0.25">
      <c r="A26" s="57"/>
      <c r="B26" s="57"/>
      <c r="C26" s="57"/>
      <c r="D26" s="57"/>
      <c r="E26" s="67"/>
      <c r="F26" s="59"/>
      <c r="G26" s="74"/>
      <c r="H26" s="68"/>
      <c r="I26" s="64"/>
      <c r="J26" s="64"/>
      <c r="K26" s="64"/>
      <c r="L26" s="64"/>
    </row>
    <row r="27" spans="1:12" ht="24.95" customHeight="1" x14ac:dyDescent="0.25">
      <c r="A27" s="57"/>
      <c r="B27" s="57"/>
      <c r="C27" s="57"/>
      <c r="D27" s="57"/>
      <c r="E27" s="67"/>
      <c r="F27" s="59"/>
      <c r="G27" s="74"/>
      <c r="H27" s="68"/>
      <c r="I27" s="64"/>
      <c r="J27" s="64"/>
      <c r="K27" s="64"/>
      <c r="L27" s="64"/>
    </row>
    <row r="28" spans="1:12" ht="24.95" customHeight="1" x14ac:dyDescent="0.25">
      <c r="A28" s="57"/>
      <c r="B28" s="57"/>
      <c r="C28" s="57"/>
      <c r="D28" s="57"/>
      <c r="E28" s="67"/>
      <c r="F28" s="59"/>
      <c r="G28" s="74"/>
      <c r="H28" s="68"/>
      <c r="I28" s="64"/>
      <c r="J28" s="64"/>
      <c r="K28" s="64"/>
      <c r="L28" s="64"/>
    </row>
    <row r="29" spans="1:12" ht="24.95" customHeight="1" x14ac:dyDescent="0.25">
      <c r="A29" s="57"/>
      <c r="B29" s="57"/>
      <c r="C29" s="57"/>
      <c r="D29" s="57"/>
      <c r="E29" s="67"/>
      <c r="F29" s="59"/>
      <c r="G29" s="74"/>
      <c r="H29" s="68"/>
      <c r="I29" s="64"/>
      <c r="J29" s="64"/>
      <c r="K29" s="64"/>
      <c r="L29" s="64"/>
    </row>
  </sheetData>
  <conditionalFormatting sqref="I2:L29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">
    <tabColor rgb="FFFFFF00"/>
  </sheetPr>
  <dimension ref="A1:BF131"/>
  <sheetViews>
    <sheetView tabSelected="1" workbookViewId="0">
      <selection activeCell="E5" sqref="E5"/>
    </sheetView>
  </sheetViews>
  <sheetFormatPr defaultColWidth="9.140625" defaultRowHeight="15" outlineLevelCol="1" x14ac:dyDescent="0.25"/>
  <cols>
    <col min="1" max="1" width="13" style="29" customWidth="1"/>
    <col min="2" max="2" width="15.7109375" style="29" customWidth="1"/>
    <col min="3" max="3" width="12.7109375" style="29" customWidth="1"/>
    <col min="4" max="4" width="23.85546875" style="29" customWidth="1"/>
    <col min="5" max="5" width="25.28515625" style="29" customWidth="1"/>
    <col min="6" max="11" width="8.42578125" style="29" customWidth="1"/>
    <col min="12" max="12" width="10.140625" style="29" customWidth="1"/>
    <col min="13" max="13" width="40.42578125" style="29" customWidth="1"/>
    <col min="14" max="14" width="31.42578125" style="29" hidden="1" customWidth="1" outlineLevel="1"/>
    <col min="15" max="15" width="35.5703125" style="29" hidden="1" customWidth="1" outlineLevel="1"/>
    <col min="16" max="21" width="14.28515625" style="29" hidden="1" customWidth="1" outlineLevel="1"/>
    <col min="22" max="22" width="9.85546875" style="29" hidden="1" customWidth="1" outlineLevel="1"/>
    <col min="23" max="37" width="14.28515625" style="29" hidden="1" customWidth="1" outlineLevel="1"/>
    <col min="38" max="38" width="14.28515625" style="29" customWidth="1" collapsed="1"/>
    <col min="39" max="39" width="24.28515625" style="29" customWidth="1"/>
    <col min="40" max="40" width="66.42578125" style="29" hidden="1" customWidth="1"/>
    <col min="41" max="41" width="57.7109375" style="29" customWidth="1"/>
    <col min="42" max="42" width="22.85546875" style="29" hidden="1" customWidth="1"/>
    <col min="43" max="43" width="9.140625" style="29" hidden="1" customWidth="1"/>
    <col min="44" max="44" width="12.28515625" style="29" customWidth="1"/>
    <col min="45" max="45" width="8.85546875" style="29" customWidth="1"/>
    <col min="46" max="46" width="9.28515625" style="29" customWidth="1"/>
    <col min="47" max="47" width="20.7109375" style="29" customWidth="1"/>
    <col min="48" max="48" width="8.28515625" style="29" customWidth="1"/>
    <col min="49" max="49" width="7.5703125" style="29" customWidth="1"/>
    <col min="50" max="50" width="9.140625" style="29"/>
    <col min="51" max="51" width="25.42578125" style="29" customWidth="1"/>
    <col min="52" max="52" width="8.7109375" style="29" customWidth="1"/>
    <col min="53" max="55" width="9.140625" style="29"/>
    <col min="56" max="56" width="29" style="29" customWidth="1"/>
    <col min="57" max="57" width="19.140625" style="29" customWidth="1"/>
    <col min="58" max="58" width="18.28515625" style="29" customWidth="1"/>
    <col min="59" max="59" width="9.140625" style="29" customWidth="1"/>
    <col min="60" max="16384" width="9.140625" style="29"/>
  </cols>
  <sheetData>
    <row r="1" spans="1:58" ht="32.25" customHeight="1" x14ac:dyDescent="0.25">
      <c r="B1" s="56" t="str">
        <f ca="1">MID(CELL("ИМЯФАЙЛА",A1),SEARCH("]",CELL("ИМЯФАЙЛА",A1))+1,255)</f>
        <v>аб1</v>
      </c>
      <c r="C1" s="35" t="e">
        <f ca="1">VLOOKUP(B1,ИД!D2:R238,2,FALSE)</f>
        <v>#N/A</v>
      </c>
      <c r="D1" s="37"/>
      <c r="E1" s="36"/>
      <c r="O1" s="29" t="e">
        <f ca="1">TRIM(RIGHT(SUBSTITUTE(E3,",",REPT(" ",5)),5))</f>
        <v>#N/A</v>
      </c>
    </row>
    <row r="2" spans="1:58" ht="45.6" customHeight="1" x14ac:dyDescent="0.4">
      <c r="B2" s="55" t="e">
        <f ca="1">IF(N2=1,"федеральной",IF(N2=2,"региональной",IF(N2=3,"местной",IF(N2=4,"частной",IF(N2=5,"лесной","ведомственной")))))</f>
        <v>#N/A</v>
      </c>
      <c r="C2" s="199" t="s">
        <v>82</v>
      </c>
      <c r="D2" s="199"/>
      <c r="E2" s="32" t="s">
        <v>154</v>
      </c>
      <c r="F2" s="30"/>
      <c r="G2" s="200" t="s">
        <v>85</v>
      </c>
      <c r="H2" s="200"/>
      <c r="I2" s="200"/>
      <c r="J2" s="200"/>
      <c r="K2" s="201" t="e">
        <f>ROUND(SUM(AQ12:AQ131)/(SUM(C12:C131)-E4),1)</f>
        <v>#DIV/0!</v>
      </c>
      <c r="L2" s="201"/>
      <c r="N2" s="31" t="e">
        <f ca="1">VLOOKUP(B1,ИД!D2:R238,12,FALSE)</f>
        <v>#N/A</v>
      </c>
      <c r="O2" s="29" t="e">
        <f ca="1">LOWER(LEFT(C1,1))&amp;RIGHT(C1,LEN(C1)-1)</f>
        <v>#N/A</v>
      </c>
      <c r="AM2" s="195" t="e">
        <f>CONCATENATE(Лист1!B94,K2,Лист1!B95,K4,Лист1!B96,O3)</f>
        <v>#DIV/0!</v>
      </c>
      <c r="AN2" s="195"/>
      <c r="AO2" s="195"/>
    </row>
    <row r="3" spans="1:58" ht="46.15" customHeight="1" x14ac:dyDescent="0.4">
      <c r="B3" s="55" t="s">
        <v>134</v>
      </c>
      <c r="C3" s="202" t="s">
        <v>83</v>
      </c>
      <c r="D3" s="202"/>
      <c r="E3" s="62" t="e">
        <f ca="1">VLOOKUP(B1,ИД!D2:R238,3,FALSE)</f>
        <v>#N/A</v>
      </c>
      <c r="G3" s="197" t="s">
        <v>90</v>
      </c>
      <c r="H3" s="197"/>
      <c r="I3" s="197"/>
      <c r="J3" s="197"/>
      <c r="K3" s="203">
        <f>SUMIF(C12:C131,"&gt;0")</f>
        <v>0</v>
      </c>
      <c r="L3" s="203"/>
      <c r="N3" s="31" t="e">
        <f ca="1">VLOOKUP(O1,Лист1!A75:C81,2,FALSE)</f>
        <v>#N/A</v>
      </c>
      <c r="O3" s="29" t="e">
        <f>IF(4&lt;K2,Лист1!B88,IF(3&lt;K2,Лист1!B89,IF(2&lt;K2,Лист1!B90,Лист1!B91)))</f>
        <v>#DIV/0!</v>
      </c>
      <c r="AM3" s="195"/>
      <c r="AN3" s="195"/>
      <c r="AO3" s="195"/>
      <c r="AU3" s="53" t="s">
        <v>133</v>
      </c>
    </row>
    <row r="4" spans="1:58" ht="26.25" x14ac:dyDescent="0.4">
      <c r="B4" s="55" t="e">
        <f ca="1">VLOOKUP(B1,ИД!D2:R238,9,FALSE)</f>
        <v>#N/A</v>
      </c>
      <c r="C4" s="196" t="s">
        <v>86</v>
      </c>
      <c r="D4" s="196"/>
      <c r="E4" s="32">
        <v>0</v>
      </c>
      <c r="G4" s="197" t="s">
        <v>118</v>
      </c>
      <c r="H4" s="197"/>
      <c r="I4" s="197"/>
      <c r="J4" s="197"/>
      <c r="K4" s="198" t="e">
        <f>ROUND(0.5+K2/10,2)</f>
        <v>#DIV/0!</v>
      </c>
      <c r="L4" s="198"/>
      <c r="N4" s="31" t="e">
        <f ca="1">VLOOKUP(O1,Лист1!A75:C81,3,FALSE)</f>
        <v>#N/A</v>
      </c>
      <c r="AM4" s="195"/>
      <c r="AN4" s="195"/>
      <c r="AO4" s="195"/>
    </row>
    <row r="5" spans="1:58" ht="27" thickBot="1" x14ac:dyDescent="0.45">
      <c r="B5" s="55" t="e">
        <f ca="1">VLOOKUP(B1,ИД!D2:R238,4,FALSE)</f>
        <v>#N/A</v>
      </c>
      <c r="C5" s="196" t="s">
        <v>94</v>
      </c>
      <c r="D5" s="196"/>
      <c r="E5" s="32">
        <v>0</v>
      </c>
      <c r="G5" s="204" t="s">
        <v>88</v>
      </c>
      <c r="H5" s="204"/>
      <c r="I5" s="204"/>
      <c r="J5" s="204"/>
      <c r="K5" s="205" t="e">
        <f ca="1">VLOOKUP(B1,ИД!D2:R238,10,FALSE)</f>
        <v>#N/A</v>
      </c>
      <c r="L5" s="205"/>
      <c r="N5" s="29" t="s">
        <v>134</v>
      </c>
      <c r="O5" s="29" t="e">
        <f ca="1">"Маршрут № "&amp;B1&amp;" представляет собой участок "&amp;B2&amp;" автомобильной дороги «"&amp;C1&amp;"», который начинается от "&amp;D6&amp;" и следует до "&amp;D7&amp;"."</f>
        <v>#N/A</v>
      </c>
      <c r="AM5" s="48"/>
      <c r="AN5" s="48"/>
      <c r="AO5" s="48"/>
    </row>
    <row r="6" spans="1:58" ht="26.25" x14ac:dyDescent="0.4">
      <c r="B6" s="55" t="e">
        <f ca="1">VLOOKUP(B1,ИД!D2:R238,8,FALSE)</f>
        <v>#N/A</v>
      </c>
      <c r="C6" s="51" t="s">
        <v>126</v>
      </c>
      <c r="D6" s="186" t="e">
        <f ca="1">VLOOKUP(B1,ИД!D2:R238,14,FALSE)</f>
        <v>#N/A</v>
      </c>
      <c r="E6" s="187"/>
      <c r="G6" s="49"/>
      <c r="H6" s="49"/>
      <c r="I6" s="49"/>
      <c r="J6" s="49"/>
      <c r="K6" s="50"/>
      <c r="L6" s="50"/>
      <c r="N6" s="29" t="s">
        <v>136</v>
      </c>
      <c r="O6" s="29" t="e">
        <f ca="1">"Маршрут № "&amp;B1&amp;" представляет собой участок  "&amp;C1&amp;", который начинается от "&amp;D6&amp;" и следует до "&amp;D7&amp;"."</f>
        <v>#N/A</v>
      </c>
      <c r="AM6" s="188" t="e">
        <f ca="1">VLOOKUP(B3,N5:O7,2,FALSE)</f>
        <v>#N/A</v>
      </c>
      <c r="AN6" s="189"/>
      <c r="AO6" s="190"/>
    </row>
    <row r="7" spans="1:58" ht="27" thickBot="1" x14ac:dyDescent="0.45">
      <c r="B7" s="55" t="e">
        <f ca="1">VLOOKUP(B1,ИД!D2:R238,11,FALSE)</f>
        <v>#N/A</v>
      </c>
      <c r="C7" s="51" t="s">
        <v>127</v>
      </c>
      <c r="D7" s="194" t="e">
        <f ca="1">VLOOKUP(B1,ИД!D2:R238,15,FALSE)</f>
        <v>#N/A</v>
      </c>
      <c r="E7" s="194"/>
      <c r="G7" s="49"/>
      <c r="H7" s="49"/>
      <c r="I7" s="49"/>
      <c r="J7" s="49"/>
      <c r="K7" s="50"/>
      <c r="L7" s="50"/>
      <c r="N7" s="29" t="s">
        <v>135</v>
      </c>
      <c r="O7" s="29" t="e">
        <f ca="1">"Маршрут № "&amp;B1&amp;" представляет собой "&amp;LOWER(LEFT(C1,1))&amp;RIGHT(C1,LEN(C1)-1)&amp;" от "&amp;D6&amp;"."</f>
        <v>#N/A</v>
      </c>
      <c r="AM7" s="191"/>
      <c r="AN7" s="192"/>
      <c r="AO7" s="193"/>
    </row>
    <row r="9" spans="1:58" x14ac:dyDescent="0.25">
      <c r="B9" s="107" t="e">
        <f ca="1">HYPERLINK("#ИД!D"&amp;MATCH(B1, ИД!D:D, 0), "На лист ИД!")</f>
        <v>#N/A</v>
      </c>
      <c r="D9" s="106"/>
      <c r="O9" s="29" t="s">
        <v>161</v>
      </c>
    </row>
    <row r="11" spans="1:58" ht="42" customHeight="1" x14ac:dyDescent="0.25">
      <c r="A11"/>
      <c r="B11" s="108"/>
      <c r="C11" s="109"/>
      <c r="D11" s="83" t="s">
        <v>189</v>
      </c>
      <c r="E11" s="83" t="s">
        <v>190</v>
      </c>
      <c r="F11"/>
      <c r="G11"/>
      <c r="H11"/>
      <c r="I11"/>
      <c r="J11"/>
      <c r="K11"/>
      <c r="L11"/>
      <c r="M11" s="65" t="s">
        <v>159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f>E5</f>
        <v>0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1:58" ht="16.5" x14ac:dyDescent="0.25">
      <c r="A12" s="110">
        <v>0</v>
      </c>
      <c r="B12" s="110">
        <v>0</v>
      </c>
      <c r="C12" s="111">
        <f>B12-A12</f>
        <v>0</v>
      </c>
      <c r="D12" s="112"/>
      <c r="E12" s="113"/>
      <c r="F12" s="113"/>
      <c r="G12" s="113"/>
      <c r="H12" s="113"/>
      <c r="I12" s="113"/>
      <c r="J12" s="113"/>
      <c r="K12" s="113"/>
      <c r="L12" s="113"/>
      <c r="M12" s="114"/>
      <c r="N12" s="115" t="str">
        <f>IFERROR(VLOOKUP($F12,Лист1!$A$4:$F$72,2,FALSE),"")</f>
        <v/>
      </c>
      <c r="O12" s="115" t="str">
        <f>IFERROR(VLOOKUP($G12,Лист1!$A$4:$F$72,2,FALSE),"")</f>
        <v/>
      </c>
      <c r="P12" s="115" t="str">
        <f>IFERROR(VLOOKUP($H12,Лист1!$A$4:$F$72,2,FALSE),"")</f>
        <v/>
      </c>
      <c r="Q12" s="115" t="str">
        <f>IFERROR(VLOOKUP($I12,Лист1!$A$4:$F$72,2,FALSE),"")</f>
        <v/>
      </c>
      <c r="R12" s="115" t="str">
        <f>IFERROR(VLOOKUP($J12,Лист1!$A$4:$F$72,2,FALSE),"")</f>
        <v/>
      </c>
      <c r="S12" s="115" t="str">
        <f>IFERROR(VLOOKUP($K12,Лист1!$A$4:$F$72,2,FALSE),"")</f>
        <v/>
      </c>
      <c r="T12" s="115" t="str">
        <f>IFERROR(VLOOKUP($L12,Лист1!$A$4:$F$72,2,FALSE),"")</f>
        <v/>
      </c>
      <c r="U12" s="115" t="str">
        <f t="shared" ref="U12:U43" si="0">IF(ISBLANK($M12),"",$M12)</f>
        <v/>
      </c>
      <c r="V12" s="116" t="str">
        <f>IFERROR(VLOOKUP($F12,Лист1!$A$4:$F$72,3,FALSE),"")</f>
        <v/>
      </c>
      <c r="W12" s="116" t="str">
        <f>IFERROR(VLOOKUP($G12,Лист1!$A$4:$F$72,3,FALSE),"")</f>
        <v/>
      </c>
      <c r="X12" s="116" t="str">
        <f>IFERROR(VLOOKUP($H12,Лист1!$A$4:$F$72,3,FALSE),"")</f>
        <v/>
      </c>
      <c r="Y12" s="116" t="str">
        <f>IFERROR(VLOOKUP($I12,Лист1!$A$4:$F$72,3,FALSE),"")</f>
        <v/>
      </c>
      <c r="Z12" s="116" t="str">
        <f>IFERROR(VLOOKUP($J12,Лист1!$A$4:$F$72,3,FALSE),"")</f>
        <v/>
      </c>
      <c r="AA12" s="116" t="str">
        <f>IFERROR(VLOOKUP($K12,Лист1!$A$4:$F$72,3,FALSE),"")</f>
        <v/>
      </c>
      <c r="AB12" s="116" t="str">
        <f>IFERROR(VLOOKUP($L12,Лист1!$A$4:$F$72,3,FALSE),"")</f>
        <v/>
      </c>
      <c r="AC12" s="116" t="str">
        <f>IFERROR(VLOOKUP($M12,Лист1!$A$4:$F$72,3,FALSE),"")</f>
        <v/>
      </c>
      <c r="AD12" s="117">
        <f t="shared" ref="AD12:AD25" si="1">ROUND(AE11,3)</f>
        <v>0</v>
      </c>
      <c r="AE12" s="118">
        <f t="shared" ref="AE12:AE25" si="2">ROUND(AD12+C12,3)</f>
        <v>0</v>
      </c>
      <c r="AF12" s="119">
        <f t="shared" ref="AF12:AF17" si="3">ROUND(ROUNDDOWN(AD12,0),0)</f>
        <v>0</v>
      </c>
      <c r="AG12" s="119">
        <f t="shared" ref="AG12:AG17" si="4">ROUND((AD12-AF12)*1000,0)</f>
        <v>0</v>
      </c>
      <c r="AH12" s="119">
        <f t="shared" ref="AH12:AH17" si="5">ROUND(ROUNDDOWN(AE12,0),0)</f>
        <v>0</v>
      </c>
      <c r="AI12" s="120">
        <f t="shared" ref="AI12:AI17" si="6">ROUND((AE12-AH12)*1000,0)</f>
        <v>0</v>
      </c>
      <c r="AJ12" s="121" t="str">
        <f t="shared" ref="AJ12:AJ43" si="7">IF($AG12=0,"000",$AG12)</f>
        <v>000</v>
      </c>
      <c r="AK12" s="121" t="str">
        <f t="shared" ref="AK12:AK43" si="8">IF($AI12=0,"000",$AI12)</f>
        <v>000</v>
      </c>
      <c r="AL12" s="122"/>
      <c r="AM12" s="123" t="str">
        <f t="shared" ref="AM12:AM17" si="9">CONCATENATE("км ",AF12,"+",AJ12," - км ",AH12,"+",AK12)</f>
        <v>км 0+000 - км 0+000</v>
      </c>
      <c r="AN12" s="124" t="str">
        <f t="shared" ref="AN12:AN43" si="10">IF(ISBLANK($M12),N12&amp;O12&amp;P12&amp;Q12&amp;R12&amp;S12&amp;T12&amp;U12,N12&amp;O12&amp;P12&amp;Q12&amp;R12&amp;S12&amp;T12&amp;U12&amp;";")</f>
        <v/>
      </c>
      <c r="AO12" s="124" t="e">
        <f t="shared" ref="AO12:AO43" si="11">UPPER(LEFT($AN12,1))&amp;RIGHT(LOWER($AN12),LEN($AN12)-1)</f>
        <v>#VALUE!</v>
      </c>
      <c r="AP12" s="125">
        <f>MIN(V12:AC12)</f>
        <v>0</v>
      </c>
      <c r="AQ12" s="120">
        <f>AP12*$C12</f>
        <v>0</v>
      </c>
      <c r="AR12" s="126"/>
      <c r="AS12" s="127">
        <f t="shared" ref="AS12:AT14" si="12">AD12</f>
        <v>0</v>
      </c>
      <c r="AT12" s="127">
        <f t="shared" si="12"/>
        <v>0</v>
      </c>
      <c r="AU12" s="128">
        <f t="shared" ref="AU12:AU25" si="13">E12</f>
        <v>0</v>
      </c>
      <c r="AV12" s="129">
        <f t="shared" ref="AV12:AV25" si="14">D12</f>
        <v>0</v>
      </c>
      <c r="AW12" s="129" t="str">
        <f t="shared" ref="AW12:AW25" si="15">IF(AP12=0,"-",AP12)</f>
        <v>-</v>
      </c>
      <c r="AX12" s="130"/>
      <c r="AY12" s="127" t="str">
        <f t="shared" ref="AY12:AY43" si="16">$AM12</f>
        <v>км 0+000 - км 0+000</v>
      </c>
      <c r="AZ12" s="129" t="str">
        <f t="shared" ref="AZ12:AZ43" si="17">$AW12</f>
        <v>-</v>
      </c>
      <c r="BA12" s="131">
        <f t="shared" ref="BA12:BA43" si="18">$BE12</f>
        <v>0.5</v>
      </c>
      <c r="BB12" s="130"/>
      <c r="BC12" s="132"/>
      <c r="BD12" s="128" t="str">
        <f t="shared" ref="BD12:BD43" si="19">$AM12</f>
        <v>км 0+000 - км 0+000</v>
      </c>
      <c r="BE12" s="131">
        <f t="shared" ref="BE12:BE43" si="20">ROUND(1-((5-$AP12)/10),2)</f>
        <v>0.5</v>
      </c>
      <c r="BF12" s="133" t="e">
        <f t="shared" ref="BF12:BF17" ca="1" si="21">ROUND(BE12*$N$4,0)</f>
        <v>#N/A</v>
      </c>
    </row>
    <row r="13" spans="1:58" ht="16.5" x14ac:dyDescent="0.25">
      <c r="A13" s="110">
        <f>B12</f>
        <v>0</v>
      </c>
      <c r="B13" s="110"/>
      <c r="C13" s="111">
        <f t="shared" ref="C13:C76" si="22">B13-A13</f>
        <v>0</v>
      </c>
      <c r="D13" s="112"/>
      <c r="E13" s="113"/>
      <c r="F13" s="113"/>
      <c r="G13" s="113"/>
      <c r="H13" s="113"/>
      <c r="I13" s="113"/>
      <c r="J13" s="113"/>
      <c r="K13" s="113"/>
      <c r="L13" s="113"/>
      <c r="M13" s="114"/>
      <c r="N13" s="115" t="str">
        <f>IFERROR(VLOOKUP($F13,Лист1!$A$4:$F$72,2,FALSE),"")</f>
        <v/>
      </c>
      <c r="O13" s="115" t="str">
        <f>IFERROR(VLOOKUP($G13,Лист1!$A$4:$F$72,2,FALSE),"")</f>
        <v/>
      </c>
      <c r="P13" s="115" t="str">
        <f>IFERROR(VLOOKUP($H13,Лист1!$A$4:$F$72,2,FALSE),"")</f>
        <v/>
      </c>
      <c r="Q13" s="115" t="str">
        <f>IFERROR(VLOOKUP($I13,Лист1!$A$4:$F$72,2,FALSE),"")</f>
        <v/>
      </c>
      <c r="R13" s="115" t="str">
        <f>IFERROR(VLOOKUP($J13,Лист1!$A$4:$F$72,2,FALSE),"")</f>
        <v/>
      </c>
      <c r="S13" s="115" t="str">
        <f>IFERROR(VLOOKUP($K13,Лист1!$A$4:$F$72,2,FALSE),"")</f>
        <v/>
      </c>
      <c r="T13" s="115" t="str">
        <f>IFERROR(VLOOKUP($L13,Лист1!$A$4:$F$72,2,FALSE),"")</f>
        <v/>
      </c>
      <c r="U13" s="115" t="str">
        <f t="shared" si="0"/>
        <v/>
      </c>
      <c r="V13" s="116" t="str">
        <f>IFERROR(VLOOKUP($F13,Лист1!$A$4:$F$72,3,FALSE),"")</f>
        <v/>
      </c>
      <c r="W13" s="116" t="str">
        <f>IFERROR(VLOOKUP($G13,Лист1!$A$4:$F$72,3,FALSE),"")</f>
        <v/>
      </c>
      <c r="X13" s="116" t="str">
        <f>IFERROR(VLOOKUP($H13,Лист1!$A$4:$F$72,3,FALSE),"")</f>
        <v/>
      </c>
      <c r="Y13" s="116" t="str">
        <f>IFERROR(VLOOKUP($I13,Лист1!$A$4:$F$72,3,FALSE),"")</f>
        <v/>
      </c>
      <c r="Z13" s="116" t="str">
        <f>IFERROR(VLOOKUP($J13,Лист1!$A$4:$F$72,3,FALSE),"")</f>
        <v/>
      </c>
      <c r="AA13" s="116" t="str">
        <f>IFERROR(VLOOKUP($K13,Лист1!$A$4:$F$72,3,FALSE),"")</f>
        <v/>
      </c>
      <c r="AB13" s="116" t="str">
        <f>IFERROR(VLOOKUP($L13,Лист1!$A$4:$F$72,3,FALSE),"")</f>
        <v/>
      </c>
      <c r="AC13" s="116" t="str">
        <f>IFERROR(VLOOKUP($M13,Лист1!$A$4:$F$72,3,FALSE),"")</f>
        <v/>
      </c>
      <c r="AD13" s="134">
        <f t="shared" si="1"/>
        <v>0</v>
      </c>
      <c r="AE13" s="135">
        <f t="shared" si="2"/>
        <v>0</v>
      </c>
      <c r="AF13" s="136">
        <f t="shared" si="3"/>
        <v>0</v>
      </c>
      <c r="AG13" s="136">
        <f t="shared" si="4"/>
        <v>0</v>
      </c>
      <c r="AH13" s="136">
        <f t="shared" si="5"/>
        <v>0</v>
      </c>
      <c r="AI13" s="137">
        <f t="shared" si="6"/>
        <v>0</v>
      </c>
      <c r="AJ13" s="138" t="str">
        <f t="shared" si="7"/>
        <v>000</v>
      </c>
      <c r="AK13" s="138" t="str">
        <f t="shared" si="8"/>
        <v>000</v>
      </c>
      <c r="AL13" s="122"/>
      <c r="AM13" s="139" t="str">
        <f t="shared" si="9"/>
        <v>км 0+000 - км 0+000</v>
      </c>
      <c r="AN13" s="140" t="str">
        <f t="shared" si="10"/>
        <v/>
      </c>
      <c r="AO13" s="140" t="e">
        <f t="shared" si="11"/>
        <v>#VALUE!</v>
      </c>
      <c r="AP13" s="141">
        <f>MIN(V13:AC13)</f>
        <v>0</v>
      </c>
      <c r="AQ13" s="137">
        <f>AP13*C13</f>
        <v>0</v>
      </c>
      <c r="AR13" s="126"/>
      <c r="AS13" s="142">
        <f t="shared" si="12"/>
        <v>0</v>
      </c>
      <c r="AT13" s="142">
        <f t="shared" si="12"/>
        <v>0</v>
      </c>
      <c r="AU13" s="143">
        <f t="shared" si="13"/>
        <v>0</v>
      </c>
      <c r="AV13" s="144">
        <f t="shared" si="14"/>
        <v>0</v>
      </c>
      <c r="AW13" s="144" t="str">
        <f t="shared" si="15"/>
        <v>-</v>
      </c>
      <c r="AX13" s="130"/>
      <c r="AY13" s="142" t="str">
        <f t="shared" si="16"/>
        <v>км 0+000 - км 0+000</v>
      </c>
      <c r="AZ13" s="144" t="str">
        <f t="shared" si="17"/>
        <v>-</v>
      </c>
      <c r="BA13" s="145">
        <f t="shared" si="18"/>
        <v>0.5</v>
      </c>
      <c r="BB13" s="130"/>
      <c r="BC13" s="132"/>
      <c r="BD13" s="143" t="str">
        <f t="shared" si="19"/>
        <v>км 0+000 - км 0+000</v>
      </c>
      <c r="BE13" s="145">
        <f t="shared" si="20"/>
        <v>0.5</v>
      </c>
      <c r="BF13" s="146" t="e">
        <f t="shared" ca="1" si="21"/>
        <v>#N/A</v>
      </c>
    </row>
    <row r="14" spans="1:58" ht="16.5" x14ac:dyDescent="0.25">
      <c r="A14" s="110">
        <f t="shared" ref="A14:A77" si="23">B13</f>
        <v>0</v>
      </c>
      <c r="B14" s="110"/>
      <c r="C14" s="111">
        <f t="shared" si="22"/>
        <v>0</v>
      </c>
      <c r="D14" s="112"/>
      <c r="E14" s="113"/>
      <c r="F14" s="113"/>
      <c r="G14" s="113"/>
      <c r="H14" s="113"/>
      <c r="I14" s="113"/>
      <c r="J14" s="113"/>
      <c r="K14" s="113"/>
      <c r="L14" s="113"/>
      <c r="M14" s="114"/>
      <c r="N14" s="115" t="str">
        <f>IFERROR(VLOOKUP($F14,Лист1!$A$4:$F$72,2,FALSE),"")</f>
        <v/>
      </c>
      <c r="O14" s="115" t="str">
        <f>IFERROR(VLOOKUP($G14,Лист1!$A$4:$F$72,2,FALSE),"")</f>
        <v/>
      </c>
      <c r="P14" s="115" t="str">
        <f>IFERROR(VLOOKUP($H14,Лист1!$A$4:$F$72,2,FALSE),"")</f>
        <v/>
      </c>
      <c r="Q14" s="115" t="str">
        <f>IFERROR(VLOOKUP($I14,Лист1!$A$4:$F$72,2,FALSE),"")</f>
        <v/>
      </c>
      <c r="R14" s="115" t="str">
        <f>IFERROR(VLOOKUP($J14,Лист1!$A$4:$F$72,2,FALSE),"")</f>
        <v/>
      </c>
      <c r="S14" s="115" t="str">
        <f>IFERROR(VLOOKUP($K14,Лист1!$A$4:$F$72,2,FALSE),"")</f>
        <v/>
      </c>
      <c r="T14" s="115" t="str">
        <f>IFERROR(VLOOKUP($L14,Лист1!$A$4:$F$72,2,FALSE),"")</f>
        <v/>
      </c>
      <c r="U14" s="115" t="str">
        <f t="shared" si="0"/>
        <v/>
      </c>
      <c r="V14" s="116" t="str">
        <f>IFERROR(VLOOKUP($F14,Лист1!$A$4:$F$72,3,FALSE),"")</f>
        <v/>
      </c>
      <c r="W14" s="116" t="str">
        <f>IFERROR(VLOOKUP($G14,Лист1!$A$4:$F$72,3,FALSE),"")</f>
        <v/>
      </c>
      <c r="X14" s="116" t="str">
        <f>IFERROR(VLOOKUP($H14,Лист1!$A$4:$F$72,3,FALSE),"")</f>
        <v/>
      </c>
      <c r="Y14" s="116" t="str">
        <f>IFERROR(VLOOKUP($I14,Лист1!$A$4:$F$72,3,FALSE),"")</f>
        <v/>
      </c>
      <c r="Z14" s="116" t="str">
        <f>IFERROR(VLOOKUP($J14,Лист1!$A$4:$F$72,3,FALSE),"")</f>
        <v/>
      </c>
      <c r="AA14" s="116" t="str">
        <f>IFERROR(VLOOKUP($K14,Лист1!$A$4:$F$72,3,FALSE),"")</f>
        <v/>
      </c>
      <c r="AB14" s="116" t="str">
        <f>IFERROR(VLOOKUP($L14,Лист1!$A$4:$F$72,3,FALSE),"")</f>
        <v/>
      </c>
      <c r="AC14" s="116" t="str">
        <f>IFERROR(VLOOKUP($M14,Лист1!$A$4:$F$72,3,FALSE),"")</f>
        <v/>
      </c>
      <c r="AD14" s="117">
        <f t="shared" si="1"/>
        <v>0</v>
      </c>
      <c r="AE14" s="118">
        <f t="shared" si="2"/>
        <v>0</v>
      </c>
      <c r="AF14" s="119">
        <f t="shared" si="3"/>
        <v>0</v>
      </c>
      <c r="AG14" s="119">
        <f t="shared" si="4"/>
        <v>0</v>
      </c>
      <c r="AH14" s="119">
        <f t="shared" si="5"/>
        <v>0</v>
      </c>
      <c r="AI14" s="120">
        <f t="shared" si="6"/>
        <v>0</v>
      </c>
      <c r="AJ14" s="121" t="str">
        <f t="shared" si="7"/>
        <v>000</v>
      </c>
      <c r="AK14" s="121" t="str">
        <f t="shared" si="8"/>
        <v>000</v>
      </c>
      <c r="AL14" s="122"/>
      <c r="AM14" s="123" t="str">
        <f t="shared" si="9"/>
        <v>км 0+000 - км 0+000</v>
      </c>
      <c r="AN14" s="124" t="str">
        <f t="shared" si="10"/>
        <v/>
      </c>
      <c r="AO14" s="124" t="e">
        <f t="shared" si="11"/>
        <v>#VALUE!</v>
      </c>
      <c r="AP14" s="125">
        <f>MIN(V14:AC14)</f>
        <v>0</v>
      </c>
      <c r="AQ14" s="120">
        <f>AP14*C14</f>
        <v>0</v>
      </c>
      <c r="AR14" s="126"/>
      <c r="AS14" s="127">
        <f t="shared" si="12"/>
        <v>0</v>
      </c>
      <c r="AT14" s="127">
        <f t="shared" si="12"/>
        <v>0</v>
      </c>
      <c r="AU14" s="128">
        <f t="shared" si="13"/>
        <v>0</v>
      </c>
      <c r="AV14" s="129">
        <f t="shared" si="14"/>
        <v>0</v>
      </c>
      <c r="AW14" s="129" t="str">
        <f t="shared" si="15"/>
        <v>-</v>
      </c>
      <c r="AX14" s="130"/>
      <c r="AY14" s="127" t="str">
        <f t="shared" si="16"/>
        <v>км 0+000 - км 0+000</v>
      </c>
      <c r="AZ14" s="129" t="str">
        <f t="shared" si="17"/>
        <v>-</v>
      </c>
      <c r="BA14" s="131">
        <f t="shared" si="18"/>
        <v>0.5</v>
      </c>
      <c r="BB14" s="130"/>
      <c r="BC14" s="132"/>
      <c r="BD14" s="128" t="str">
        <f t="shared" si="19"/>
        <v>км 0+000 - км 0+000</v>
      </c>
      <c r="BE14" s="131">
        <f t="shared" si="20"/>
        <v>0.5</v>
      </c>
      <c r="BF14" s="133" t="e">
        <f t="shared" ca="1" si="21"/>
        <v>#N/A</v>
      </c>
    </row>
    <row r="15" spans="1:58" ht="16.5" x14ac:dyDescent="0.25">
      <c r="A15" s="110">
        <f t="shared" si="23"/>
        <v>0</v>
      </c>
      <c r="B15" s="110"/>
      <c r="C15" s="111">
        <f t="shared" si="22"/>
        <v>0</v>
      </c>
      <c r="D15" s="112"/>
      <c r="E15" s="113"/>
      <c r="F15" s="113"/>
      <c r="G15" s="113"/>
      <c r="H15" s="113"/>
      <c r="I15" s="113"/>
      <c r="J15" s="113"/>
      <c r="K15" s="113"/>
      <c r="L15" s="113"/>
      <c r="M15" s="114"/>
      <c r="N15" s="147" t="str">
        <f>IFERROR(VLOOKUP($F15,Лист1!$A$4:$F$72,2,FALSE),"")</f>
        <v/>
      </c>
      <c r="O15" s="147" t="str">
        <f>IFERROR(VLOOKUP($G15,Лист1!$A$4:$F$72,2,FALSE),"")</f>
        <v/>
      </c>
      <c r="P15" s="115" t="str">
        <f>IFERROR(VLOOKUP($H15,Лист1!$A$4:$F$72,2,FALSE),"")</f>
        <v/>
      </c>
      <c r="Q15" s="115" t="str">
        <f>IFERROR(VLOOKUP($I15,Лист1!$A$4:$F$72,2,FALSE),"")</f>
        <v/>
      </c>
      <c r="R15" s="115" t="str">
        <f>IFERROR(VLOOKUP($J15,Лист1!$A$4:$F$72,2,FALSE),"")</f>
        <v/>
      </c>
      <c r="S15" s="115" t="str">
        <f>IFERROR(VLOOKUP($K15,Лист1!$A$4:$F$72,2,FALSE),"")</f>
        <v/>
      </c>
      <c r="T15" s="115" t="str">
        <f>IFERROR(VLOOKUP($L15,Лист1!$A$4:$F$72,2,FALSE),"")</f>
        <v/>
      </c>
      <c r="U15" s="115" t="str">
        <f t="shared" si="0"/>
        <v/>
      </c>
      <c r="V15" s="148" t="str">
        <f>IFERROR(VLOOKUP($F15,Лист1!$A$4:$F$72,3,FALSE),"")</f>
        <v/>
      </c>
      <c r="W15" s="116" t="str">
        <f>IFERROR(VLOOKUP($G15,Лист1!$A$4:$F$72,3,FALSE),"")</f>
        <v/>
      </c>
      <c r="X15" s="116" t="str">
        <f>IFERROR(VLOOKUP($H15,Лист1!$A$4:$F$72,3,FALSE),"")</f>
        <v/>
      </c>
      <c r="Y15" s="116" t="str">
        <f>IFERROR(VLOOKUP($I15,Лист1!$A$4:$F$72,3,FALSE),"")</f>
        <v/>
      </c>
      <c r="Z15" s="116" t="str">
        <f>IFERROR(VLOOKUP($J15,Лист1!$A$4:$F$72,3,FALSE),"")</f>
        <v/>
      </c>
      <c r="AA15" s="116" t="str">
        <f>IFERROR(VLOOKUP($K15,Лист1!$A$4:$F$72,3,FALSE),"")</f>
        <v/>
      </c>
      <c r="AB15" s="116" t="str">
        <f>IFERROR(VLOOKUP($L15,Лист1!$A$4:$F$72,3,FALSE),"")</f>
        <v/>
      </c>
      <c r="AC15" s="116" t="str">
        <f>IFERROR(VLOOKUP($M15,Лист1!$A$4:$F$72,3,FALSE),"")</f>
        <v/>
      </c>
      <c r="AD15" s="149">
        <f t="shared" si="1"/>
        <v>0</v>
      </c>
      <c r="AE15" s="135">
        <f t="shared" si="2"/>
        <v>0</v>
      </c>
      <c r="AF15" s="136">
        <f t="shared" si="3"/>
        <v>0</v>
      </c>
      <c r="AG15" s="136">
        <f t="shared" si="4"/>
        <v>0</v>
      </c>
      <c r="AH15" s="136">
        <f t="shared" si="5"/>
        <v>0</v>
      </c>
      <c r="AI15" s="138">
        <f t="shared" si="6"/>
        <v>0</v>
      </c>
      <c r="AJ15" s="138" t="str">
        <f t="shared" si="7"/>
        <v>000</v>
      </c>
      <c r="AK15" s="138" t="str">
        <f t="shared" si="8"/>
        <v>000</v>
      </c>
      <c r="AL15" s="122"/>
      <c r="AM15" s="139" t="str">
        <f t="shared" si="9"/>
        <v>км 0+000 - км 0+000</v>
      </c>
      <c r="AN15" s="140" t="str">
        <f t="shared" si="10"/>
        <v/>
      </c>
      <c r="AO15" s="150" t="e">
        <f t="shared" si="11"/>
        <v>#VALUE!</v>
      </c>
      <c r="AP15" s="141">
        <f t="shared" ref="AP15:AP20" si="24">MIN(V15:AC15)</f>
        <v>0</v>
      </c>
      <c r="AQ15" s="137">
        <f t="shared" ref="AQ15:AQ20" si="25">AP15*C15</f>
        <v>0</v>
      </c>
      <c r="AR15" s="126"/>
      <c r="AS15" s="142">
        <f t="shared" ref="AS15:AT17" si="26">AD15</f>
        <v>0</v>
      </c>
      <c r="AT15" s="142">
        <f t="shared" si="26"/>
        <v>0</v>
      </c>
      <c r="AU15" s="143">
        <f t="shared" si="13"/>
        <v>0</v>
      </c>
      <c r="AV15" s="144">
        <f t="shared" si="14"/>
        <v>0</v>
      </c>
      <c r="AW15" s="144" t="str">
        <f t="shared" si="15"/>
        <v>-</v>
      </c>
      <c r="AX15" s="130"/>
      <c r="AY15" s="142" t="str">
        <f t="shared" si="16"/>
        <v>км 0+000 - км 0+000</v>
      </c>
      <c r="AZ15" s="144" t="str">
        <f t="shared" si="17"/>
        <v>-</v>
      </c>
      <c r="BA15" s="145">
        <f t="shared" si="18"/>
        <v>0.5</v>
      </c>
      <c r="BB15" s="130"/>
      <c r="BC15" s="130"/>
      <c r="BD15" s="143" t="str">
        <f t="shared" si="19"/>
        <v>км 0+000 - км 0+000</v>
      </c>
      <c r="BE15" s="145">
        <f t="shared" si="20"/>
        <v>0.5</v>
      </c>
      <c r="BF15" s="151" t="e">
        <f t="shared" ca="1" si="21"/>
        <v>#N/A</v>
      </c>
    </row>
    <row r="16" spans="1:58" ht="16.5" x14ac:dyDescent="0.25">
      <c r="A16" s="110">
        <f t="shared" si="23"/>
        <v>0</v>
      </c>
      <c r="B16" s="110"/>
      <c r="C16" s="111">
        <f t="shared" si="22"/>
        <v>0</v>
      </c>
      <c r="D16" s="112"/>
      <c r="E16" s="113"/>
      <c r="F16" s="113"/>
      <c r="G16" s="113"/>
      <c r="H16" s="113"/>
      <c r="I16" s="113"/>
      <c r="J16" s="113"/>
      <c r="K16" s="113"/>
      <c r="L16" s="113"/>
      <c r="M16" s="114"/>
      <c r="N16" s="147" t="str">
        <f>IFERROR(VLOOKUP($F16,Лист1!$A$4:$F$72,2,FALSE),"")</f>
        <v/>
      </c>
      <c r="O16" s="147" t="str">
        <f>IFERROR(VLOOKUP($G16,Лист1!$A$4:$F$72,2,FALSE),"")</f>
        <v/>
      </c>
      <c r="P16" s="115" t="str">
        <f>IFERROR(VLOOKUP($H16,Лист1!$A$4:$F$72,2,FALSE),"")</f>
        <v/>
      </c>
      <c r="Q16" s="115" t="str">
        <f>IFERROR(VLOOKUP($I16,Лист1!$A$4:$F$72,2,FALSE),"")</f>
        <v/>
      </c>
      <c r="R16" s="115" t="str">
        <f>IFERROR(VLOOKUP($J16,Лист1!$A$4:$F$72,2,FALSE),"")</f>
        <v/>
      </c>
      <c r="S16" s="115" t="str">
        <f>IFERROR(VLOOKUP($K16,Лист1!$A$4:$F$72,2,FALSE),"")</f>
        <v/>
      </c>
      <c r="T16" s="115" t="str">
        <f>IFERROR(VLOOKUP($L16,Лист1!$A$4:$F$72,2,FALSE),"")</f>
        <v/>
      </c>
      <c r="U16" s="115" t="str">
        <f t="shared" si="0"/>
        <v/>
      </c>
      <c r="V16" s="148" t="str">
        <f>IFERROR(VLOOKUP($F16,Лист1!$A$4:$F$72,3,FALSE),"")</f>
        <v/>
      </c>
      <c r="W16" s="116" t="str">
        <f>IFERROR(VLOOKUP($G16,Лист1!$A$4:$F$72,3,FALSE),"")</f>
        <v/>
      </c>
      <c r="X16" s="116" t="str">
        <f>IFERROR(VLOOKUP($H16,Лист1!$A$4:$F$72,3,FALSE),"")</f>
        <v/>
      </c>
      <c r="Y16" s="116" t="str">
        <f>IFERROR(VLOOKUP($I16,Лист1!$A$4:$F$72,3,FALSE),"")</f>
        <v/>
      </c>
      <c r="Z16" s="116" t="str">
        <f>IFERROR(VLOOKUP($J16,Лист1!$A$4:$F$72,3,FALSE),"")</f>
        <v/>
      </c>
      <c r="AA16" s="116" t="str">
        <f>IFERROR(VLOOKUP($K16,Лист1!$A$4:$F$72,3,FALSE),"")</f>
        <v/>
      </c>
      <c r="AB16" s="116" t="str">
        <f>IFERROR(VLOOKUP($L16,Лист1!$A$4:$F$72,3,FALSE),"")</f>
        <v/>
      </c>
      <c r="AC16" s="116" t="str">
        <f>IFERROR(VLOOKUP($M16,Лист1!$A$4:$F$72,3,FALSE),"")</f>
        <v/>
      </c>
      <c r="AD16" s="152">
        <f t="shared" si="1"/>
        <v>0</v>
      </c>
      <c r="AE16" s="118">
        <f t="shared" si="2"/>
        <v>0</v>
      </c>
      <c r="AF16" s="119">
        <f t="shared" si="3"/>
        <v>0</v>
      </c>
      <c r="AG16" s="119">
        <f t="shared" si="4"/>
        <v>0</v>
      </c>
      <c r="AH16" s="119">
        <f t="shared" si="5"/>
        <v>0</v>
      </c>
      <c r="AI16" s="121">
        <f t="shared" si="6"/>
        <v>0</v>
      </c>
      <c r="AJ16" s="121" t="str">
        <f t="shared" si="7"/>
        <v>000</v>
      </c>
      <c r="AK16" s="121" t="str">
        <f t="shared" si="8"/>
        <v>000</v>
      </c>
      <c r="AL16" s="122"/>
      <c r="AM16" s="123" t="str">
        <f t="shared" si="9"/>
        <v>км 0+000 - км 0+000</v>
      </c>
      <c r="AN16" s="124" t="str">
        <f t="shared" si="10"/>
        <v/>
      </c>
      <c r="AO16" s="153" t="e">
        <f t="shared" si="11"/>
        <v>#VALUE!</v>
      </c>
      <c r="AP16" s="125">
        <f t="shared" si="24"/>
        <v>0</v>
      </c>
      <c r="AQ16" s="120">
        <f t="shared" si="25"/>
        <v>0</v>
      </c>
      <c r="AR16" s="126"/>
      <c r="AS16" s="127">
        <f t="shared" si="26"/>
        <v>0</v>
      </c>
      <c r="AT16" s="127">
        <f t="shared" si="26"/>
        <v>0</v>
      </c>
      <c r="AU16" s="128">
        <f t="shared" si="13"/>
        <v>0</v>
      </c>
      <c r="AV16" s="129">
        <f t="shared" si="14"/>
        <v>0</v>
      </c>
      <c r="AW16" s="129" t="str">
        <f t="shared" si="15"/>
        <v>-</v>
      </c>
      <c r="AX16" s="130"/>
      <c r="AY16" s="127" t="str">
        <f t="shared" si="16"/>
        <v>км 0+000 - км 0+000</v>
      </c>
      <c r="AZ16" s="129" t="str">
        <f t="shared" si="17"/>
        <v>-</v>
      </c>
      <c r="BA16" s="131">
        <f t="shared" si="18"/>
        <v>0.5</v>
      </c>
      <c r="BB16" s="130"/>
      <c r="BC16" s="130"/>
      <c r="BD16" s="128" t="str">
        <f t="shared" si="19"/>
        <v>км 0+000 - км 0+000</v>
      </c>
      <c r="BE16" s="131">
        <f t="shared" si="20"/>
        <v>0.5</v>
      </c>
      <c r="BF16" s="133" t="e">
        <f t="shared" ca="1" si="21"/>
        <v>#N/A</v>
      </c>
    </row>
    <row r="17" spans="1:58" ht="16.5" x14ac:dyDescent="0.25">
      <c r="A17" s="110">
        <f t="shared" si="23"/>
        <v>0</v>
      </c>
      <c r="B17" s="110"/>
      <c r="C17" s="111">
        <f t="shared" si="22"/>
        <v>0</v>
      </c>
      <c r="D17" s="112"/>
      <c r="E17" s="113"/>
      <c r="F17" s="113"/>
      <c r="G17" s="113"/>
      <c r="H17" s="113"/>
      <c r="I17" s="113"/>
      <c r="J17" s="113"/>
      <c r="K17" s="113"/>
      <c r="L17" s="113"/>
      <c r="M17" s="114"/>
      <c r="N17" s="147" t="str">
        <f>IFERROR(VLOOKUP($F17,Лист1!$A$4:$F$72,2,FALSE),"")</f>
        <v/>
      </c>
      <c r="O17" s="147" t="str">
        <f>IFERROR(VLOOKUP($G17,Лист1!$A$4:$F$72,2,FALSE),"")</f>
        <v/>
      </c>
      <c r="P17" s="115" t="str">
        <f>IFERROR(VLOOKUP($H17,Лист1!$A$4:$F$72,2,FALSE),"")</f>
        <v/>
      </c>
      <c r="Q17" s="115" t="str">
        <f>IFERROR(VLOOKUP($I17,Лист1!$A$4:$F$72,2,FALSE),"")</f>
        <v/>
      </c>
      <c r="R17" s="115" t="str">
        <f>IFERROR(VLOOKUP($J17,Лист1!$A$4:$F$72,2,FALSE),"")</f>
        <v/>
      </c>
      <c r="S17" s="115" t="str">
        <f>IFERROR(VLOOKUP($K17,Лист1!$A$4:$F$72,2,FALSE),"")</f>
        <v/>
      </c>
      <c r="T17" s="115" t="str">
        <f>IFERROR(VLOOKUP($L17,Лист1!$A$4:$F$72,2,FALSE),"")</f>
        <v/>
      </c>
      <c r="U17" s="115" t="str">
        <f t="shared" si="0"/>
        <v/>
      </c>
      <c r="V17" s="148" t="str">
        <f>IFERROR(VLOOKUP($F17,Лист1!$A$4:$F$72,3,FALSE),"")</f>
        <v/>
      </c>
      <c r="W17" s="116" t="str">
        <f>IFERROR(VLOOKUP($G17,Лист1!$A$4:$F$72,3,FALSE),"")</f>
        <v/>
      </c>
      <c r="X17" s="116" t="str">
        <f>IFERROR(VLOOKUP($H17,Лист1!$A$4:$F$72,3,FALSE),"")</f>
        <v/>
      </c>
      <c r="Y17" s="116" t="str">
        <f>IFERROR(VLOOKUP($I17,Лист1!$A$4:$F$72,3,FALSE),"")</f>
        <v/>
      </c>
      <c r="Z17" s="116" t="str">
        <f>IFERROR(VLOOKUP($J17,Лист1!$A$4:$F$72,3,FALSE),"")</f>
        <v/>
      </c>
      <c r="AA17" s="116" t="str">
        <f>IFERROR(VLOOKUP($K17,Лист1!$A$4:$F$72,3,FALSE),"")</f>
        <v/>
      </c>
      <c r="AB17" s="116" t="str">
        <f>IFERROR(VLOOKUP($L17,Лист1!$A$4:$F$72,3,FALSE),"")</f>
        <v/>
      </c>
      <c r="AC17" s="116" t="str">
        <f>IFERROR(VLOOKUP($M17,Лист1!$A$4:$F$72,3,FALSE),"")</f>
        <v/>
      </c>
      <c r="AD17" s="149">
        <f t="shared" si="1"/>
        <v>0</v>
      </c>
      <c r="AE17" s="135">
        <f t="shared" si="2"/>
        <v>0</v>
      </c>
      <c r="AF17" s="136">
        <f t="shared" si="3"/>
        <v>0</v>
      </c>
      <c r="AG17" s="136">
        <f t="shared" si="4"/>
        <v>0</v>
      </c>
      <c r="AH17" s="136">
        <f t="shared" si="5"/>
        <v>0</v>
      </c>
      <c r="AI17" s="138">
        <f t="shared" si="6"/>
        <v>0</v>
      </c>
      <c r="AJ17" s="138" t="str">
        <f t="shared" si="7"/>
        <v>000</v>
      </c>
      <c r="AK17" s="138" t="str">
        <f t="shared" si="8"/>
        <v>000</v>
      </c>
      <c r="AL17" s="122"/>
      <c r="AM17" s="139" t="str">
        <f t="shared" si="9"/>
        <v>км 0+000 - км 0+000</v>
      </c>
      <c r="AN17" s="140" t="str">
        <f t="shared" si="10"/>
        <v/>
      </c>
      <c r="AO17" s="150" t="e">
        <f t="shared" si="11"/>
        <v>#VALUE!</v>
      </c>
      <c r="AP17" s="141">
        <f t="shared" si="24"/>
        <v>0</v>
      </c>
      <c r="AQ17" s="137">
        <f t="shared" si="25"/>
        <v>0</v>
      </c>
      <c r="AR17" s="126"/>
      <c r="AS17" s="142">
        <f t="shared" si="26"/>
        <v>0</v>
      </c>
      <c r="AT17" s="142">
        <f t="shared" si="26"/>
        <v>0</v>
      </c>
      <c r="AU17" s="143">
        <f t="shared" si="13"/>
        <v>0</v>
      </c>
      <c r="AV17" s="144">
        <f t="shared" si="14"/>
        <v>0</v>
      </c>
      <c r="AW17" s="144" t="str">
        <f t="shared" si="15"/>
        <v>-</v>
      </c>
      <c r="AX17" s="130"/>
      <c r="AY17" s="142" t="str">
        <f t="shared" si="16"/>
        <v>км 0+000 - км 0+000</v>
      </c>
      <c r="AZ17" s="144" t="str">
        <f t="shared" si="17"/>
        <v>-</v>
      </c>
      <c r="BA17" s="145">
        <f t="shared" si="18"/>
        <v>0.5</v>
      </c>
      <c r="BB17" s="130"/>
      <c r="BC17" s="130"/>
      <c r="BD17" s="143" t="str">
        <f t="shared" si="19"/>
        <v>км 0+000 - км 0+000</v>
      </c>
      <c r="BE17" s="145">
        <f t="shared" si="20"/>
        <v>0.5</v>
      </c>
      <c r="BF17" s="151" t="e">
        <f t="shared" ca="1" si="21"/>
        <v>#N/A</v>
      </c>
    </row>
    <row r="18" spans="1:58" ht="16.5" x14ac:dyDescent="0.25">
      <c r="A18" s="110">
        <f t="shared" si="23"/>
        <v>0</v>
      </c>
      <c r="B18" s="110"/>
      <c r="C18" s="111">
        <f t="shared" si="22"/>
        <v>0</v>
      </c>
      <c r="D18" s="112"/>
      <c r="E18" s="113"/>
      <c r="F18" s="113"/>
      <c r="G18" s="113"/>
      <c r="H18" s="113"/>
      <c r="I18" s="113"/>
      <c r="J18" s="113"/>
      <c r="K18" s="113"/>
      <c r="L18" s="113"/>
      <c r="M18" s="114"/>
      <c r="N18" s="147" t="str">
        <f>IFERROR(VLOOKUP($F18,Лист1!$A$4:$F$72,2,FALSE),"")</f>
        <v/>
      </c>
      <c r="O18" s="147" t="str">
        <f>IFERROR(VLOOKUP($G18,Лист1!$A$4:$F$72,2,FALSE),"")</f>
        <v/>
      </c>
      <c r="P18" s="115" t="str">
        <f>IFERROR(VLOOKUP($H18,Лист1!$A$4:$F$72,2,FALSE),"")</f>
        <v/>
      </c>
      <c r="Q18" s="115" t="str">
        <f>IFERROR(VLOOKUP($I18,Лист1!$A$4:$F$72,2,FALSE),"")</f>
        <v/>
      </c>
      <c r="R18" s="115" t="str">
        <f>IFERROR(VLOOKUP($J18,Лист1!$A$4:$F$72,2,FALSE),"")</f>
        <v/>
      </c>
      <c r="S18" s="115" t="str">
        <f>IFERROR(VLOOKUP($K18,Лист1!$A$4:$F$72,2,FALSE),"")</f>
        <v/>
      </c>
      <c r="T18" s="115" t="str">
        <f>IFERROR(VLOOKUP($L18,Лист1!$A$4:$F$72,2,FALSE),"")</f>
        <v/>
      </c>
      <c r="U18" s="115" t="str">
        <f t="shared" si="0"/>
        <v/>
      </c>
      <c r="V18" s="148" t="str">
        <f>IFERROR(VLOOKUP($F18,Лист1!$A$4:$F$72,3,FALSE),"")</f>
        <v/>
      </c>
      <c r="W18" s="116" t="str">
        <f>IFERROR(VLOOKUP($G18,Лист1!$A$4:$F$72,3,FALSE),"")</f>
        <v/>
      </c>
      <c r="X18" s="116" t="str">
        <f>IFERROR(VLOOKUP($H18,Лист1!$A$4:$F$72,3,FALSE),"")</f>
        <v/>
      </c>
      <c r="Y18" s="116" t="str">
        <f>IFERROR(VLOOKUP($I18,Лист1!$A$4:$F$72,3,FALSE),"")</f>
        <v/>
      </c>
      <c r="Z18" s="116" t="str">
        <f>IFERROR(VLOOKUP($J18,Лист1!$A$4:$F$72,3,FALSE),"")</f>
        <v/>
      </c>
      <c r="AA18" s="116" t="str">
        <f>IFERROR(VLOOKUP($K18,Лист1!$A$4:$F$72,3,FALSE),"")</f>
        <v/>
      </c>
      <c r="AB18" s="116" t="str">
        <f>IFERROR(VLOOKUP($L18,Лист1!$A$4:$F$72,3,FALSE),"")</f>
        <v/>
      </c>
      <c r="AC18" s="116" t="str">
        <f>IFERROR(VLOOKUP($M18,Лист1!$A$4:$F$72,3,FALSE),"")</f>
        <v/>
      </c>
      <c r="AD18" s="152">
        <f t="shared" si="1"/>
        <v>0</v>
      </c>
      <c r="AE18" s="118">
        <f t="shared" si="2"/>
        <v>0</v>
      </c>
      <c r="AF18" s="119">
        <f t="shared" ref="AF18:AF25" si="27">ROUND(ROUNDDOWN(AD18,0),0)</f>
        <v>0</v>
      </c>
      <c r="AG18" s="119">
        <f t="shared" ref="AG18:AG25" si="28">ROUND((AD18-AF18)*1000,0)</f>
        <v>0</v>
      </c>
      <c r="AH18" s="119">
        <f t="shared" ref="AH18:AH25" si="29">ROUND(ROUNDDOWN(AE18,0),0)</f>
        <v>0</v>
      </c>
      <c r="AI18" s="121">
        <f t="shared" ref="AI18:AI25" si="30">ROUND((AE18-AH18)*1000,0)</f>
        <v>0</v>
      </c>
      <c r="AJ18" s="121" t="str">
        <f t="shared" si="7"/>
        <v>000</v>
      </c>
      <c r="AK18" s="121" t="str">
        <f t="shared" si="8"/>
        <v>000</v>
      </c>
      <c r="AL18" s="122"/>
      <c r="AM18" s="123" t="str">
        <f t="shared" ref="AM18:AM25" si="31">CONCATENATE("км ",AF18,"+",AJ18," - км ",AH18,"+",AK18)</f>
        <v>км 0+000 - км 0+000</v>
      </c>
      <c r="AN18" s="124" t="str">
        <f t="shared" si="10"/>
        <v/>
      </c>
      <c r="AO18" s="153" t="e">
        <f t="shared" si="11"/>
        <v>#VALUE!</v>
      </c>
      <c r="AP18" s="125">
        <f t="shared" si="24"/>
        <v>0</v>
      </c>
      <c r="AQ18" s="120">
        <f t="shared" si="25"/>
        <v>0</v>
      </c>
      <c r="AR18" s="126"/>
      <c r="AS18" s="127">
        <f t="shared" ref="AS18:AT20" si="32">AD18</f>
        <v>0</v>
      </c>
      <c r="AT18" s="127">
        <f t="shared" si="32"/>
        <v>0</v>
      </c>
      <c r="AU18" s="128">
        <f t="shared" si="13"/>
        <v>0</v>
      </c>
      <c r="AV18" s="129">
        <f t="shared" si="14"/>
        <v>0</v>
      </c>
      <c r="AW18" s="129" t="str">
        <f t="shared" si="15"/>
        <v>-</v>
      </c>
      <c r="AX18" s="130"/>
      <c r="AY18" s="127" t="str">
        <f t="shared" si="16"/>
        <v>км 0+000 - км 0+000</v>
      </c>
      <c r="AZ18" s="129" t="str">
        <f t="shared" si="17"/>
        <v>-</v>
      </c>
      <c r="BA18" s="131">
        <f t="shared" si="18"/>
        <v>0.5</v>
      </c>
      <c r="BB18" s="130"/>
      <c r="BC18" s="130"/>
      <c r="BD18" s="128" t="str">
        <f t="shared" si="19"/>
        <v>км 0+000 - км 0+000</v>
      </c>
      <c r="BE18" s="131">
        <f t="shared" si="20"/>
        <v>0.5</v>
      </c>
      <c r="BF18" s="133" t="e">
        <f t="shared" ref="BF18:BF25" ca="1" si="33">ROUND(BE18*$N$4,0)</f>
        <v>#N/A</v>
      </c>
    </row>
    <row r="19" spans="1:58" ht="16.5" x14ac:dyDescent="0.25">
      <c r="A19" s="110">
        <f t="shared" si="23"/>
        <v>0</v>
      </c>
      <c r="B19" s="110"/>
      <c r="C19" s="111">
        <f t="shared" si="22"/>
        <v>0</v>
      </c>
      <c r="D19" s="112"/>
      <c r="E19" s="113"/>
      <c r="F19" s="113"/>
      <c r="G19" s="113"/>
      <c r="H19" s="113"/>
      <c r="I19" s="113"/>
      <c r="J19" s="113"/>
      <c r="K19" s="113"/>
      <c r="L19" s="113"/>
      <c r="M19" s="114"/>
      <c r="N19" s="147" t="str">
        <f>IFERROR(VLOOKUP($F19,Лист1!$A$4:$F$72,2,FALSE),"")</f>
        <v/>
      </c>
      <c r="O19" s="147" t="str">
        <f>IFERROR(VLOOKUP($G19,Лист1!$A$4:$F$72,2,FALSE),"")</f>
        <v/>
      </c>
      <c r="P19" s="115" t="str">
        <f>IFERROR(VLOOKUP($H19,Лист1!$A$4:$F$72,2,FALSE),"")</f>
        <v/>
      </c>
      <c r="Q19" s="115" t="str">
        <f>IFERROR(VLOOKUP($I19,Лист1!$A$4:$F$72,2,FALSE),"")</f>
        <v/>
      </c>
      <c r="R19" s="115" t="str">
        <f>IFERROR(VLOOKUP($J19,Лист1!$A$4:$F$72,2,FALSE),"")</f>
        <v/>
      </c>
      <c r="S19" s="115" t="str">
        <f>IFERROR(VLOOKUP($K19,Лист1!$A$4:$F$72,2,FALSE),"")</f>
        <v/>
      </c>
      <c r="T19" s="115" t="str">
        <f>IFERROR(VLOOKUP($L19,Лист1!$A$4:$F$72,2,FALSE),"")</f>
        <v/>
      </c>
      <c r="U19" s="115" t="str">
        <f t="shared" si="0"/>
        <v/>
      </c>
      <c r="V19" s="148" t="str">
        <f>IFERROR(VLOOKUP($F19,Лист1!$A$4:$F$72,3,FALSE),"")</f>
        <v/>
      </c>
      <c r="W19" s="116" t="str">
        <f>IFERROR(VLOOKUP($G19,Лист1!$A$4:$F$72,3,FALSE),"")</f>
        <v/>
      </c>
      <c r="X19" s="116" t="str">
        <f>IFERROR(VLOOKUP($H19,Лист1!$A$4:$F$72,3,FALSE),"")</f>
        <v/>
      </c>
      <c r="Y19" s="116" t="str">
        <f>IFERROR(VLOOKUP($I19,Лист1!$A$4:$F$72,3,FALSE),"")</f>
        <v/>
      </c>
      <c r="Z19" s="116" t="str">
        <f>IFERROR(VLOOKUP($J19,Лист1!$A$4:$F$72,3,FALSE),"")</f>
        <v/>
      </c>
      <c r="AA19" s="116" t="str">
        <f>IFERROR(VLOOKUP($K19,Лист1!$A$4:$F$72,3,FALSE),"")</f>
        <v/>
      </c>
      <c r="AB19" s="116" t="str">
        <f>IFERROR(VLOOKUP($L19,Лист1!$A$4:$F$72,3,FALSE),"")</f>
        <v/>
      </c>
      <c r="AC19" s="116" t="str">
        <f>IFERROR(VLOOKUP($M19,Лист1!$A$4:$F$72,3,FALSE),"")</f>
        <v/>
      </c>
      <c r="AD19" s="149">
        <f t="shared" si="1"/>
        <v>0</v>
      </c>
      <c r="AE19" s="135">
        <f t="shared" si="2"/>
        <v>0</v>
      </c>
      <c r="AF19" s="136">
        <f t="shared" si="27"/>
        <v>0</v>
      </c>
      <c r="AG19" s="136">
        <f t="shared" si="28"/>
        <v>0</v>
      </c>
      <c r="AH19" s="136">
        <f t="shared" si="29"/>
        <v>0</v>
      </c>
      <c r="AI19" s="138">
        <f t="shared" si="30"/>
        <v>0</v>
      </c>
      <c r="AJ19" s="138" t="str">
        <f t="shared" si="7"/>
        <v>000</v>
      </c>
      <c r="AK19" s="138" t="str">
        <f t="shared" si="8"/>
        <v>000</v>
      </c>
      <c r="AL19" s="122"/>
      <c r="AM19" s="139" t="str">
        <f t="shared" si="31"/>
        <v>км 0+000 - км 0+000</v>
      </c>
      <c r="AN19" s="140" t="str">
        <f t="shared" si="10"/>
        <v/>
      </c>
      <c r="AO19" s="150" t="e">
        <f t="shared" si="11"/>
        <v>#VALUE!</v>
      </c>
      <c r="AP19" s="141">
        <f t="shared" si="24"/>
        <v>0</v>
      </c>
      <c r="AQ19" s="137">
        <f t="shared" si="25"/>
        <v>0</v>
      </c>
      <c r="AR19" s="126"/>
      <c r="AS19" s="142">
        <f t="shared" si="32"/>
        <v>0</v>
      </c>
      <c r="AT19" s="142">
        <f t="shared" si="32"/>
        <v>0</v>
      </c>
      <c r="AU19" s="143">
        <f t="shared" si="13"/>
        <v>0</v>
      </c>
      <c r="AV19" s="144">
        <f t="shared" si="14"/>
        <v>0</v>
      </c>
      <c r="AW19" s="144" t="str">
        <f t="shared" si="15"/>
        <v>-</v>
      </c>
      <c r="AX19" s="130"/>
      <c r="AY19" s="142" t="str">
        <f t="shared" si="16"/>
        <v>км 0+000 - км 0+000</v>
      </c>
      <c r="AZ19" s="144" t="str">
        <f t="shared" si="17"/>
        <v>-</v>
      </c>
      <c r="BA19" s="145">
        <f t="shared" si="18"/>
        <v>0.5</v>
      </c>
      <c r="BB19" s="130"/>
      <c r="BC19" s="130"/>
      <c r="BD19" s="143" t="str">
        <f t="shared" si="19"/>
        <v>км 0+000 - км 0+000</v>
      </c>
      <c r="BE19" s="145">
        <f t="shared" si="20"/>
        <v>0.5</v>
      </c>
      <c r="BF19" s="151" t="e">
        <f t="shared" ca="1" si="33"/>
        <v>#N/A</v>
      </c>
    </row>
    <row r="20" spans="1:58" ht="16.5" x14ac:dyDescent="0.25">
      <c r="A20" s="110">
        <f t="shared" si="23"/>
        <v>0</v>
      </c>
      <c r="B20" s="110"/>
      <c r="C20" s="111">
        <f t="shared" si="22"/>
        <v>0</v>
      </c>
      <c r="D20" s="112"/>
      <c r="E20" s="113"/>
      <c r="F20" s="113"/>
      <c r="G20" s="113"/>
      <c r="H20" s="113"/>
      <c r="I20" s="113"/>
      <c r="J20" s="113"/>
      <c r="K20" s="113"/>
      <c r="L20" s="113"/>
      <c r="M20" s="114"/>
      <c r="N20" s="147" t="str">
        <f>IFERROR(VLOOKUP($F20,Лист1!$A$4:$F$72,2,FALSE),"")</f>
        <v/>
      </c>
      <c r="O20" s="147" t="str">
        <f>IFERROR(VLOOKUP($G20,Лист1!$A$4:$F$72,2,FALSE),"")</f>
        <v/>
      </c>
      <c r="P20" s="115" t="str">
        <f>IFERROR(VLOOKUP($H20,Лист1!$A$4:$F$72,2,FALSE),"")</f>
        <v/>
      </c>
      <c r="Q20" s="115" t="str">
        <f>IFERROR(VLOOKUP($I20,Лист1!$A$4:$F$72,2,FALSE),"")</f>
        <v/>
      </c>
      <c r="R20" s="115" t="str">
        <f>IFERROR(VLOOKUP($J20,Лист1!$A$4:$F$72,2,FALSE),"")</f>
        <v/>
      </c>
      <c r="S20" s="115" t="str">
        <f>IFERROR(VLOOKUP($K20,Лист1!$A$4:$F$72,2,FALSE),"")</f>
        <v/>
      </c>
      <c r="T20" s="115" t="str">
        <f>IFERROR(VLOOKUP($L20,Лист1!$A$4:$F$72,2,FALSE),"")</f>
        <v/>
      </c>
      <c r="U20" s="115" t="str">
        <f t="shared" si="0"/>
        <v/>
      </c>
      <c r="V20" s="148" t="str">
        <f>IFERROR(VLOOKUP($F20,Лист1!$A$4:$F$72,3,FALSE),"")</f>
        <v/>
      </c>
      <c r="W20" s="116" t="str">
        <f>IFERROR(VLOOKUP($G20,Лист1!$A$4:$F$72,3,FALSE),"")</f>
        <v/>
      </c>
      <c r="X20" s="116" t="str">
        <f>IFERROR(VLOOKUP($H20,Лист1!$A$4:$F$72,3,FALSE),"")</f>
        <v/>
      </c>
      <c r="Y20" s="116" t="str">
        <f>IFERROR(VLOOKUP($I20,Лист1!$A$4:$F$72,3,FALSE),"")</f>
        <v/>
      </c>
      <c r="Z20" s="116" t="str">
        <f>IFERROR(VLOOKUP($J20,Лист1!$A$4:$F$72,3,FALSE),"")</f>
        <v/>
      </c>
      <c r="AA20" s="116" t="str">
        <f>IFERROR(VLOOKUP($K20,Лист1!$A$4:$F$72,3,FALSE),"")</f>
        <v/>
      </c>
      <c r="AB20" s="116" t="str">
        <f>IFERROR(VLOOKUP($L20,Лист1!$A$4:$F$72,3,FALSE),"")</f>
        <v/>
      </c>
      <c r="AC20" s="116" t="str">
        <f>IFERROR(VLOOKUP($M20,Лист1!$A$4:$F$72,3,FALSE),"")</f>
        <v/>
      </c>
      <c r="AD20" s="152">
        <f t="shared" si="1"/>
        <v>0</v>
      </c>
      <c r="AE20" s="118">
        <f t="shared" si="2"/>
        <v>0</v>
      </c>
      <c r="AF20" s="119">
        <f t="shared" si="27"/>
        <v>0</v>
      </c>
      <c r="AG20" s="119">
        <f t="shared" si="28"/>
        <v>0</v>
      </c>
      <c r="AH20" s="119">
        <f t="shared" si="29"/>
        <v>0</v>
      </c>
      <c r="AI20" s="121">
        <f t="shared" si="30"/>
        <v>0</v>
      </c>
      <c r="AJ20" s="121" t="str">
        <f t="shared" si="7"/>
        <v>000</v>
      </c>
      <c r="AK20" s="121" t="str">
        <f t="shared" si="8"/>
        <v>000</v>
      </c>
      <c r="AL20" s="122"/>
      <c r="AM20" s="123" t="str">
        <f t="shared" si="31"/>
        <v>км 0+000 - км 0+000</v>
      </c>
      <c r="AN20" s="124" t="str">
        <f t="shared" si="10"/>
        <v/>
      </c>
      <c r="AO20" s="153" t="e">
        <f t="shared" si="11"/>
        <v>#VALUE!</v>
      </c>
      <c r="AP20" s="125">
        <f t="shared" si="24"/>
        <v>0</v>
      </c>
      <c r="AQ20" s="120">
        <f t="shared" si="25"/>
        <v>0</v>
      </c>
      <c r="AR20" s="126"/>
      <c r="AS20" s="127">
        <f t="shared" si="32"/>
        <v>0</v>
      </c>
      <c r="AT20" s="127">
        <f t="shared" si="32"/>
        <v>0</v>
      </c>
      <c r="AU20" s="128">
        <f t="shared" si="13"/>
        <v>0</v>
      </c>
      <c r="AV20" s="129">
        <f t="shared" si="14"/>
        <v>0</v>
      </c>
      <c r="AW20" s="129" t="str">
        <f t="shared" si="15"/>
        <v>-</v>
      </c>
      <c r="AX20" s="130"/>
      <c r="AY20" s="127" t="str">
        <f t="shared" si="16"/>
        <v>км 0+000 - км 0+000</v>
      </c>
      <c r="AZ20" s="129" t="str">
        <f t="shared" si="17"/>
        <v>-</v>
      </c>
      <c r="BA20" s="131">
        <f t="shared" si="18"/>
        <v>0.5</v>
      </c>
      <c r="BB20" s="130"/>
      <c r="BC20" s="130"/>
      <c r="BD20" s="128" t="str">
        <f t="shared" si="19"/>
        <v>км 0+000 - км 0+000</v>
      </c>
      <c r="BE20" s="131">
        <f t="shared" si="20"/>
        <v>0.5</v>
      </c>
      <c r="BF20" s="133" t="e">
        <f t="shared" ca="1" si="33"/>
        <v>#N/A</v>
      </c>
    </row>
    <row r="21" spans="1:58" ht="16.5" x14ac:dyDescent="0.25">
      <c r="A21" s="110">
        <f t="shared" si="23"/>
        <v>0</v>
      </c>
      <c r="B21" s="110"/>
      <c r="C21" s="111">
        <f t="shared" si="22"/>
        <v>0</v>
      </c>
      <c r="D21" s="112"/>
      <c r="E21" s="113"/>
      <c r="F21" s="113"/>
      <c r="G21" s="113"/>
      <c r="H21" s="113"/>
      <c r="I21" s="113"/>
      <c r="J21" s="113"/>
      <c r="K21" s="113"/>
      <c r="L21" s="113"/>
      <c r="M21" s="114"/>
      <c r="N21" s="147" t="str">
        <f>IFERROR(VLOOKUP($F21,Лист1!$A$4:$F$72,2,FALSE),"")</f>
        <v/>
      </c>
      <c r="O21" s="147" t="str">
        <f>IFERROR(VLOOKUP($G21,Лист1!$A$4:$F$72,2,FALSE),"")</f>
        <v/>
      </c>
      <c r="P21" s="115" t="str">
        <f>IFERROR(VLOOKUP($H21,Лист1!$A$4:$F$72,2,FALSE),"")</f>
        <v/>
      </c>
      <c r="Q21" s="115" t="str">
        <f>IFERROR(VLOOKUP($I21,Лист1!$A$4:$F$72,2,FALSE),"")</f>
        <v/>
      </c>
      <c r="R21" s="115" t="str">
        <f>IFERROR(VLOOKUP($J21,Лист1!$A$4:$F$72,2,FALSE),"")</f>
        <v/>
      </c>
      <c r="S21" s="115" t="str">
        <f>IFERROR(VLOOKUP($K21,Лист1!$A$4:$F$72,2,FALSE),"")</f>
        <v/>
      </c>
      <c r="T21" s="115" t="str">
        <f>IFERROR(VLOOKUP($L21,Лист1!$A$4:$F$72,2,FALSE),"")</f>
        <v/>
      </c>
      <c r="U21" s="115" t="str">
        <f t="shared" si="0"/>
        <v/>
      </c>
      <c r="V21" s="148" t="str">
        <f>IFERROR(VLOOKUP($F21,Лист1!$A$4:$F$72,3,FALSE),"")</f>
        <v/>
      </c>
      <c r="W21" s="116" t="str">
        <f>IFERROR(VLOOKUP($G21,Лист1!$A$4:$F$72,3,FALSE),"")</f>
        <v/>
      </c>
      <c r="X21" s="116" t="str">
        <f>IFERROR(VLOOKUP($H21,Лист1!$A$4:$F$72,3,FALSE),"")</f>
        <v/>
      </c>
      <c r="Y21" s="116" t="str">
        <f>IFERROR(VLOOKUP($I21,Лист1!$A$4:$F$72,3,FALSE),"")</f>
        <v/>
      </c>
      <c r="Z21" s="116" t="str">
        <f>IFERROR(VLOOKUP($J21,Лист1!$A$4:$F$72,3,FALSE),"")</f>
        <v/>
      </c>
      <c r="AA21" s="116" t="str">
        <f>IFERROR(VLOOKUP($K21,Лист1!$A$4:$F$72,3,FALSE),"")</f>
        <v/>
      </c>
      <c r="AB21" s="116" t="str">
        <f>IFERROR(VLOOKUP($L21,Лист1!$A$4:$F$72,3,FALSE),"")</f>
        <v/>
      </c>
      <c r="AC21" s="116" t="str">
        <f>IFERROR(VLOOKUP($M21,Лист1!$A$4:$F$72,3,FALSE),"")</f>
        <v/>
      </c>
      <c r="AD21" s="149">
        <f t="shared" si="1"/>
        <v>0</v>
      </c>
      <c r="AE21" s="135">
        <f t="shared" si="2"/>
        <v>0</v>
      </c>
      <c r="AF21" s="136">
        <f t="shared" si="27"/>
        <v>0</v>
      </c>
      <c r="AG21" s="136">
        <f t="shared" si="28"/>
        <v>0</v>
      </c>
      <c r="AH21" s="136">
        <f t="shared" si="29"/>
        <v>0</v>
      </c>
      <c r="AI21" s="138">
        <f t="shared" si="30"/>
        <v>0</v>
      </c>
      <c r="AJ21" s="138" t="str">
        <f t="shared" si="7"/>
        <v>000</v>
      </c>
      <c r="AK21" s="138" t="str">
        <f t="shared" si="8"/>
        <v>000</v>
      </c>
      <c r="AL21" s="122"/>
      <c r="AM21" s="139" t="str">
        <f t="shared" si="31"/>
        <v>км 0+000 - км 0+000</v>
      </c>
      <c r="AN21" s="140" t="str">
        <f t="shared" si="10"/>
        <v/>
      </c>
      <c r="AO21" s="150" t="e">
        <f t="shared" si="11"/>
        <v>#VALUE!</v>
      </c>
      <c r="AP21" s="141">
        <f>MIN(V21:AC21)</f>
        <v>0</v>
      </c>
      <c r="AQ21" s="137">
        <f>AP21*C21</f>
        <v>0</v>
      </c>
      <c r="AR21" s="126"/>
      <c r="AS21" s="142">
        <f t="shared" ref="AS21:AT25" si="34">AD21</f>
        <v>0</v>
      </c>
      <c r="AT21" s="142">
        <f t="shared" si="34"/>
        <v>0</v>
      </c>
      <c r="AU21" s="143">
        <f t="shared" si="13"/>
        <v>0</v>
      </c>
      <c r="AV21" s="144">
        <f t="shared" si="14"/>
        <v>0</v>
      </c>
      <c r="AW21" s="144" t="str">
        <f t="shared" si="15"/>
        <v>-</v>
      </c>
      <c r="AX21" s="130"/>
      <c r="AY21" s="142" t="str">
        <f t="shared" si="16"/>
        <v>км 0+000 - км 0+000</v>
      </c>
      <c r="AZ21" s="144" t="str">
        <f t="shared" si="17"/>
        <v>-</v>
      </c>
      <c r="BA21" s="145">
        <f t="shared" si="18"/>
        <v>0.5</v>
      </c>
      <c r="BB21" s="130"/>
      <c r="BC21" s="130"/>
      <c r="BD21" s="143" t="str">
        <f t="shared" si="19"/>
        <v>км 0+000 - км 0+000</v>
      </c>
      <c r="BE21" s="145">
        <f t="shared" si="20"/>
        <v>0.5</v>
      </c>
      <c r="BF21" s="151" t="e">
        <f t="shared" ca="1" si="33"/>
        <v>#N/A</v>
      </c>
    </row>
    <row r="22" spans="1:58" ht="16.5" x14ac:dyDescent="0.25">
      <c r="A22" s="110">
        <f t="shared" si="23"/>
        <v>0</v>
      </c>
      <c r="B22" s="110"/>
      <c r="C22" s="111">
        <f t="shared" si="22"/>
        <v>0</v>
      </c>
      <c r="D22" s="112"/>
      <c r="E22" s="113"/>
      <c r="F22" s="113"/>
      <c r="G22" s="113"/>
      <c r="H22" s="113"/>
      <c r="I22" s="113"/>
      <c r="J22" s="113"/>
      <c r="K22" s="113"/>
      <c r="L22" s="113"/>
      <c r="M22" s="114"/>
      <c r="N22" s="147" t="str">
        <f>IFERROR(VLOOKUP($F22,Лист1!$A$4:$F$72,2,FALSE),"")</f>
        <v/>
      </c>
      <c r="O22" s="147" t="str">
        <f>IFERROR(VLOOKUP($G22,Лист1!$A$4:$F$72,2,FALSE),"")</f>
        <v/>
      </c>
      <c r="P22" s="115" t="str">
        <f>IFERROR(VLOOKUP($H22,Лист1!$A$4:$F$72,2,FALSE),"")</f>
        <v/>
      </c>
      <c r="Q22" s="115" t="str">
        <f>IFERROR(VLOOKUP($I22,Лист1!$A$4:$F$72,2,FALSE),"")</f>
        <v/>
      </c>
      <c r="R22" s="115" t="str">
        <f>IFERROR(VLOOKUP($J22,Лист1!$A$4:$F$72,2,FALSE),"")</f>
        <v/>
      </c>
      <c r="S22" s="115" t="str">
        <f>IFERROR(VLOOKUP($K22,Лист1!$A$4:$F$72,2,FALSE),"")</f>
        <v/>
      </c>
      <c r="T22" s="115" t="str">
        <f>IFERROR(VLOOKUP($L22,Лист1!$A$4:$F$72,2,FALSE),"")</f>
        <v/>
      </c>
      <c r="U22" s="115" t="str">
        <f t="shared" si="0"/>
        <v/>
      </c>
      <c r="V22" s="148" t="str">
        <f>IFERROR(VLOOKUP($F22,Лист1!$A$4:$F$72,3,FALSE),"")</f>
        <v/>
      </c>
      <c r="W22" s="116" t="str">
        <f>IFERROR(VLOOKUP($G22,Лист1!$A$4:$F$72,3,FALSE),"")</f>
        <v/>
      </c>
      <c r="X22" s="116" t="str">
        <f>IFERROR(VLOOKUP($H22,Лист1!$A$4:$F$72,3,FALSE),"")</f>
        <v/>
      </c>
      <c r="Y22" s="116" t="str">
        <f>IFERROR(VLOOKUP($I22,Лист1!$A$4:$F$72,3,FALSE),"")</f>
        <v/>
      </c>
      <c r="Z22" s="116" t="str">
        <f>IFERROR(VLOOKUP($J22,Лист1!$A$4:$F$72,3,FALSE),"")</f>
        <v/>
      </c>
      <c r="AA22" s="116" t="str">
        <f>IFERROR(VLOOKUP($K22,Лист1!$A$4:$F$72,3,FALSE),"")</f>
        <v/>
      </c>
      <c r="AB22" s="116" t="str">
        <f>IFERROR(VLOOKUP($L22,Лист1!$A$4:$F$72,3,FALSE),"")</f>
        <v/>
      </c>
      <c r="AC22" s="116" t="str">
        <f>IFERROR(VLOOKUP($M22,Лист1!$A$4:$F$72,3,FALSE),"")</f>
        <v/>
      </c>
      <c r="AD22" s="152">
        <f t="shared" si="1"/>
        <v>0</v>
      </c>
      <c r="AE22" s="118">
        <f t="shared" si="2"/>
        <v>0</v>
      </c>
      <c r="AF22" s="119">
        <f t="shared" si="27"/>
        <v>0</v>
      </c>
      <c r="AG22" s="119">
        <f t="shared" si="28"/>
        <v>0</v>
      </c>
      <c r="AH22" s="119">
        <f t="shared" si="29"/>
        <v>0</v>
      </c>
      <c r="AI22" s="121">
        <f t="shared" si="30"/>
        <v>0</v>
      </c>
      <c r="AJ22" s="121" t="str">
        <f t="shared" si="7"/>
        <v>000</v>
      </c>
      <c r="AK22" s="121" t="str">
        <f t="shared" si="8"/>
        <v>000</v>
      </c>
      <c r="AL22" s="122"/>
      <c r="AM22" s="123" t="str">
        <f t="shared" si="31"/>
        <v>км 0+000 - км 0+000</v>
      </c>
      <c r="AN22" s="124" t="str">
        <f t="shared" si="10"/>
        <v/>
      </c>
      <c r="AO22" s="153" t="e">
        <f t="shared" si="11"/>
        <v>#VALUE!</v>
      </c>
      <c r="AP22" s="125">
        <f>MIN(V22:AC22)</f>
        <v>0</v>
      </c>
      <c r="AQ22" s="120">
        <f>AP22*C22</f>
        <v>0</v>
      </c>
      <c r="AR22" s="126"/>
      <c r="AS22" s="127">
        <f t="shared" si="34"/>
        <v>0</v>
      </c>
      <c r="AT22" s="127">
        <f t="shared" si="34"/>
        <v>0</v>
      </c>
      <c r="AU22" s="128">
        <f t="shared" si="13"/>
        <v>0</v>
      </c>
      <c r="AV22" s="129">
        <f t="shared" si="14"/>
        <v>0</v>
      </c>
      <c r="AW22" s="129" t="str">
        <f t="shared" si="15"/>
        <v>-</v>
      </c>
      <c r="AX22" s="130"/>
      <c r="AY22" s="127" t="str">
        <f t="shared" si="16"/>
        <v>км 0+000 - км 0+000</v>
      </c>
      <c r="AZ22" s="129" t="str">
        <f t="shared" si="17"/>
        <v>-</v>
      </c>
      <c r="BA22" s="131">
        <f t="shared" si="18"/>
        <v>0.5</v>
      </c>
      <c r="BB22" s="130"/>
      <c r="BC22" s="130"/>
      <c r="BD22" s="128" t="str">
        <f t="shared" si="19"/>
        <v>км 0+000 - км 0+000</v>
      </c>
      <c r="BE22" s="131">
        <f t="shared" si="20"/>
        <v>0.5</v>
      </c>
      <c r="BF22" s="154" t="e">
        <f t="shared" ca="1" si="33"/>
        <v>#N/A</v>
      </c>
    </row>
    <row r="23" spans="1:58" ht="16.5" x14ac:dyDescent="0.25">
      <c r="A23" s="110">
        <f t="shared" si="23"/>
        <v>0</v>
      </c>
      <c r="B23" s="110"/>
      <c r="C23" s="111">
        <f t="shared" si="22"/>
        <v>0</v>
      </c>
      <c r="D23" s="112"/>
      <c r="E23" s="113"/>
      <c r="F23" s="113"/>
      <c r="G23" s="113"/>
      <c r="H23" s="113"/>
      <c r="I23" s="113"/>
      <c r="J23" s="113"/>
      <c r="K23" s="113"/>
      <c r="L23" s="113"/>
      <c r="M23" s="114"/>
      <c r="N23" s="147" t="str">
        <f>IFERROR(VLOOKUP($F23,Лист1!$A$4:$F$72,2,FALSE),"")</f>
        <v/>
      </c>
      <c r="O23" s="147" t="str">
        <f>IFERROR(VLOOKUP($G23,Лист1!$A$4:$F$72,2,FALSE),"")</f>
        <v/>
      </c>
      <c r="P23" s="115" t="str">
        <f>IFERROR(VLOOKUP($H23,Лист1!$A$4:$F$72,2,FALSE),"")</f>
        <v/>
      </c>
      <c r="Q23" s="115" t="str">
        <f>IFERROR(VLOOKUP($I23,Лист1!$A$4:$F$72,2,FALSE),"")</f>
        <v/>
      </c>
      <c r="R23" s="115" t="str">
        <f>IFERROR(VLOOKUP($J23,Лист1!$A$4:$F$72,2,FALSE),"")</f>
        <v/>
      </c>
      <c r="S23" s="115" t="str">
        <f>IFERROR(VLOOKUP($K23,Лист1!$A$4:$F$72,2,FALSE),"")</f>
        <v/>
      </c>
      <c r="T23" s="115" t="str">
        <f>IFERROR(VLOOKUP($L23,Лист1!$A$4:$F$72,2,FALSE),"")</f>
        <v/>
      </c>
      <c r="U23" s="115" t="str">
        <f t="shared" si="0"/>
        <v/>
      </c>
      <c r="V23" s="148" t="str">
        <f>IFERROR(VLOOKUP($F23,Лист1!$A$4:$F$72,3,FALSE),"")</f>
        <v/>
      </c>
      <c r="W23" s="116" t="str">
        <f>IFERROR(VLOOKUP($G23,Лист1!$A$4:$F$72,3,FALSE),"")</f>
        <v/>
      </c>
      <c r="X23" s="116" t="str">
        <f>IFERROR(VLOOKUP($H23,Лист1!$A$4:$F$72,3,FALSE),"")</f>
        <v/>
      </c>
      <c r="Y23" s="116" t="str">
        <f>IFERROR(VLOOKUP($I23,Лист1!$A$4:$F$72,3,FALSE),"")</f>
        <v/>
      </c>
      <c r="Z23" s="116" t="str">
        <f>IFERROR(VLOOKUP($J23,Лист1!$A$4:$F$72,3,FALSE),"")</f>
        <v/>
      </c>
      <c r="AA23" s="116" t="str">
        <f>IFERROR(VLOOKUP($K23,Лист1!$A$4:$F$72,3,FALSE),"")</f>
        <v/>
      </c>
      <c r="AB23" s="116" t="str">
        <f>IFERROR(VLOOKUP($L23,Лист1!$A$4:$F$72,3,FALSE),"")</f>
        <v/>
      </c>
      <c r="AC23" s="116" t="str">
        <f>IFERROR(VLOOKUP($M23,Лист1!$A$4:$F$72,3,FALSE),"")</f>
        <v/>
      </c>
      <c r="AD23" s="149">
        <f t="shared" si="1"/>
        <v>0</v>
      </c>
      <c r="AE23" s="135">
        <f t="shared" si="2"/>
        <v>0</v>
      </c>
      <c r="AF23" s="136">
        <f t="shared" si="27"/>
        <v>0</v>
      </c>
      <c r="AG23" s="136">
        <f t="shared" si="28"/>
        <v>0</v>
      </c>
      <c r="AH23" s="136">
        <f t="shared" si="29"/>
        <v>0</v>
      </c>
      <c r="AI23" s="138">
        <f t="shared" si="30"/>
        <v>0</v>
      </c>
      <c r="AJ23" s="138" t="str">
        <f t="shared" si="7"/>
        <v>000</v>
      </c>
      <c r="AK23" s="138" t="str">
        <f t="shared" si="8"/>
        <v>000</v>
      </c>
      <c r="AL23" s="122"/>
      <c r="AM23" s="139" t="str">
        <f t="shared" si="31"/>
        <v>км 0+000 - км 0+000</v>
      </c>
      <c r="AN23" s="140" t="str">
        <f t="shared" si="10"/>
        <v/>
      </c>
      <c r="AO23" s="150" t="e">
        <f t="shared" si="11"/>
        <v>#VALUE!</v>
      </c>
      <c r="AP23" s="141">
        <f>MIN(V23:AC23)</f>
        <v>0</v>
      </c>
      <c r="AQ23" s="137">
        <f>AP23*C23</f>
        <v>0</v>
      </c>
      <c r="AR23" s="126"/>
      <c r="AS23" s="142">
        <f t="shared" si="34"/>
        <v>0</v>
      </c>
      <c r="AT23" s="142">
        <f t="shared" si="34"/>
        <v>0</v>
      </c>
      <c r="AU23" s="143">
        <f t="shared" si="13"/>
        <v>0</v>
      </c>
      <c r="AV23" s="144">
        <f t="shared" si="14"/>
        <v>0</v>
      </c>
      <c r="AW23" s="144" t="str">
        <f t="shared" si="15"/>
        <v>-</v>
      </c>
      <c r="AX23" s="130"/>
      <c r="AY23" s="142" t="str">
        <f t="shared" si="16"/>
        <v>км 0+000 - км 0+000</v>
      </c>
      <c r="AZ23" s="144" t="str">
        <f t="shared" si="17"/>
        <v>-</v>
      </c>
      <c r="BA23" s="145">
        <f t="shared" si="18"/>
        <v>0.5</v>
      </c>
      <c r="BB23" s="130"/>
      <c r="BC23" s="130"/>
      <c r="BD23" s="143" t="str">
        <f t="shared" si="19"/>
        <v>км 0+000 - км 0+000</v>
      </c>
      <c r="BE23" s="145">
        <f t="shared" si="20"/>
        <v>0.5</v>
      </c>
      <c r="BF23" s="151" t="e">
        <f t="shared" ca="1" si="33"/>
        <v>#N/A</v>
      </c>
    </row>
    <row r="24" spans="1:58" ht="16.5" x14ac:dyDescent="0.25">
      <c r="A24" s="110">
        <f t="shared" si="23"/>
        <v>0</v>
      </c>
      <c r="B24" s="110"/>
      <c r="C24" s="111">
        <f t="shared" si="22"/>
        <v>0</v>
      </c>
      <c r="D24" s="112"/>
      <c r="E24" s="113"/>
      <c r="F24" s="113"/>
      <c r="G24" s="113"/>
      <c r="H24" s="113"/>
      <c r="I24" s="113"/>
      <c r="J24" s="113"/>
      <c r="K24" s="113"/>
      <c r="L24" s="113"/>
      <c r="M24" s="114"/>
      <c r="N24" s="147" t="str">
        <f>IFERROR(VLOOKUP($F24,Лист1!$A$4:$F$72,2,FALSE),"")</f>
        <v/>
      </c>
      <c r="O24" s="147" t="str">
        <f>IFERROR(VLOOKUP($G24,Лист1!$A$4:$F$72,2,FALSE),"")</f>
        <v/>
      </c>
      <c r="P24" s="115" t="str">
        <f>IFERROR(VLOOKUP($H24,Лист1!$A$4:$F$72,2,FALSE),"")</f>
        <v/>
      </c>
      <c r="Q24" s="115" t="str">
        <f>IFERROR(VLOOKUP($I24,Лист1!$A$4:$F$72,2,FALSE),"")</f>
        <v/>
      </c>
      <c r="R24" s="115" t="str">
        <f>IFERROR(VLOOKUP($J24,Лист1!$A$4:$F$72,2,FALSE),"")</f>
        <v/>
      </c>
      <c r="S24" s="115" t="str">
        <f>IFERROR(VLOOKUP($K24,Лист1!$A$4:$F$72,2,FALSE),"")</f>
        <v/>
      </c>
      <c r="T24" s="115" t="str">
        <f>IFERROR(VLOOKUP($L24,Лист1!$A$4:$F$72,2,FALSE),"")</f>
        <v/>
      </c>
      <c r="U24" s="115" t="str">
        <f t="shared" si="0"/>
        <v/>
      </c>
      <c r="V24" s="148" t="str">
        <f>IFERROR(VLOOKUP($F24,Лист1!$A$4:$F$72,3,FALSE),"")</f>
        <v/>
      </c>
      <c r="W24" s="116" t="str">
        <f>IFERROR(VLOOKUP($G24,Лист1!$A$4:$F$72,3,FALSE),"")</f>
        <v/>
      </c>
      <c r="X24" s="116" t="str">
        <f>IFERROR(VLOOKUP($H24,Лист1!$A$4:$F$72,3,FALSE),"")</f>
        <v/>
      </c>
      <c r="Y24" s="116" t="str">
        <f>IFERROR(VLOOKUP($I24,Лист1!$A$4:$F$72,3,FALSE),"")</f>
        <v/>
      </c>
      <c r="Z24" s="116" t="str">
        <f>IFERROR(VLOOKUP($J24,Лист1!$A$4:$F$72,3,FALSE),"")</f>
        <v/>
      </c>
      <c r="AA24" s="116" t="str">
        <f>IFERROR(VLOOKUP($K24,Лист1!$A$4:$F$72,3,FALSE),"")</f>
        <v/>
      </c>
      <c r="AB24" s="116" t="str">
        <f>IFERROR(VLOOKUP($L24,Лист1!$A$4:$F$72,3,FALSE),"")</f>
        <v/>
      </c>
      <c r="AC24" s="116" t="str">
        <f>IFERROR(VLOOKUP($M24,Лист1!$A$4:$F$72,3,FALSE),"")</f>
        <v/>
      </c>
      <c r="AD24" s="152">
        <f t="shared" si="1"/>
        <v>0</v>
      </c>
      <c r="AE24" s="118">
        <f t="shared" si="2"/>
        <v>0</v>
      </c>
      <c r="AF24" s="119">
        <f t="shared" si="27"/>
        <v>0</v>
      </c>
      <c r="AG24" s="119">
        <f t="shared" si="28"/>
        <v>0</v>
      </c>
      <c r="AH24" s="119">
        <f t="shared" si="29"/>
        <v>0</v>
      </c>
      <c r="AI24" s="121">
        <f t="shared" si="30"/>
        <v>0</v>
      </c>
      <c r="AJ24" s="121" t="str">
        <f t="shared" si="7"/>
        <v>000</v>
      </c>
      <c r="AK24" s="121" t="str">
        <f t="shared" si="8"/>
        <v>000</v>
      </c>
      <c r="AL24" s="122"/>
      <c r="AM24" s="123" t="str">
        <f t="shared" si="31"/>
        <v>км 0+000 - км 0+000</v>
      </c>
      <c r="AN24" s="124" t="str">
        <f t="shared" si="10"/>
        <v/>
      </c>
      <c r="AO24" s="153" t="e">
        <f t="shared" si="11"/>
        <v>#VALUE!</v>
      </c>
      <c r="AP24" s="125">
        <f>MIN(V24:AC24)</f>
        <v>0</v>
      </c>
      <c r="AQ24" s="120">
        <f>AP24*C24</f>
        <v>0</v>
      </c>
      <c r="AR24" s="126"/>
      <c r="AS24" s="127">
        <f t="shared" si="34"/>
        <v>0</v>
      </c>
      <c r="AT24" s="127">
        <f t="shared" si="34"/>
        <v>0</v>
      </c>
      <c r="AU24" s="128">
        <f t="shared" si="13"/>
        <v>0</v>
      </c>
      <c r="AV24" s="129">
        <f t="shared" si="14"/>
        <v>0</v>
      </c>
      <c r="AW24" s="129" t="str">
        <f t="shared" si="15"/>
        <v>-</v>
      </c>
      <c r="AX24" s="130"/>
      <c r="AY24" s="127" t="str">
        <f t="shared" si="16"/>
        <v>км 0+000 - км 0+000</v>
      </c>
      <c r="AZ24" s="129" t="str">
        <f t="shared" si="17"/>
        <v>-</v>
      </c>
      <c r="BA24" s="131">
        <f t="shared" si="18"/>
        <v>0.5</v>
      </c>
      <c r="BB24" s="130"/>
      <c r="BC24" s="130"/>
      <c r="BD24" s="128" t="str">
        <f t="shared" si="19"/>
        <v>км 0+000 - км 0+000</v>
      </c>
      <c r="BE24" s="131">
        <f t="shared" si="20"/>
        <v>0.5</v>
      </c>
      <c r="BF24" s="154" t="e">
        <f t="shared" ca="1" si="33"/>
        <v>#N/A</v>
      </c>
    </row>
    <row r="25" spans="1:58" ht="16.5" x14ac:dyDescent="0.25">
      <c r="A25" s="110">
        <f t="shared" si="23"/>
        <v>0</v>
      </c>
      <c r="B25" s="110"/>
      <c r="C25" s="111">
        <f t="shared" si="22"/>
        <v>0</v>
      </c>
      <c r="D25" s="155"/>
      <c r="E25" s="156"/>
      <c r="F25" s="156"/>
      <c r="G25" s="157"/>
      <c r="H25" s="157"/>
      <c r="I25" s="157"/>
      <c r="J25" s="157"/>
      <c r="K25" s="157"/>
      <c r="L25" s="157"/>
      <c r="M25" s="158"/>
      <c r="N25" s="159" t="str">
        <f>IFERROR(VLOOKUP($F25,Лист1!$A$4:$F$72,2,FALSE),"")</f>
        <v/>
      </c>
      <c r="O25" s="159" t="str">
        <f>IFERROR(VLOOKUP($G25,Лист1!$A$4:$F$72,2,FALSE),"")</f>
        <v/>
      </c>
      <c r="P25" s="160" t="str">
        <f>IFERROR(VLOOKUP($H25,Лист1!$A$4:$F$72,2,FALSE),"")</f>
        <v/>
      </c>
      <c r="Q25" s="160" t="str">
        <f>IFERROR(VLOOKUP($I25,Лист1!$A$4:$F$72,2,FALSE),"")</f>
        <v/>
      </c>
      <c r="R25" s="160" t="str">
        <f>IFERROR(VLOOKUP($J25,Лист1!$A$4:$F$72,2,FALSE),"")</f>
        <v/>
      </c>
      <c r="S25" s="160" t="str">
        <f>IFERROR(VLOOKUP($K25,Лист1!$A$4:$F$72,2,FALSE),"")</f>
        <v/>
      </c>
      <c r="T25" s="160" t="str">
        <f>IFERROR(VLOOKUP($L25,Лист1!$A$4:$F$72,2,FALSE),"")</f>
        <v/>
      </c>
      <c r="U25" s="160" t="str">
        <f t="shared" si="0"/>
        <v/>
      </c>
      <c r="V25" s="161" t="str">
        <f>IFERROR(VLOOKUP($F25,Лист1!$A$4:$F$72,3,FALSE),"")</f>
        <v/>
      </c>
      <c r="W25" s="162" t="str">
        <f>IFERROR(VLOOKUP($G25,Лист1!$A$4:$F$72,3,FALSE),"")</f>
        <v/>
      </c>
      <c r="X25" s="162" t="str">
        <f>IFERROR(VLOOKUP($H25,Лист1!$A$4:$F$72,3,FALSE),"")</f>
        <v/>
      </c>
      <c r="Y25" s="162" t="str">
        <f>IFERROR(VLOOKUP($I25,Лист1!$A$4:$F$72,3,FALSE),"")</f>
        <v/>
      </c>
      <c r="Z25" s="162" t="str">
        <f>IFERROR(VLOOKUP($J25,Лист1!$A$4:$F$72,3,FALSE),"")</f>
        <v/>
      </c>
      <c r="AA25" s="162" t="str">
        <f>IFERROR(VLOOKUP($K25,Лист1!$A$4:$F$72,3,FALSE),"")</f>
        <v/>
      </c>
      <c r="AB25" s="162" t="str">
        <f>IFERROR(VLOOKUP($L25,Лист1!$A$4:$F$72,3,FALSE),"")</f>
        <v/>
      </c>
      <c r="AC25" s="162" t="str">
        <f>IFERROR(VLOOKUP($M25,Лист1!$A$4:$F$72,3,FALSE),"")</f>
        <v/>
      </c>
      <c r="AD25" s="163">
        <f t="shared" si="1"/>
        <v>0</v>
      </c>
      <c r="AE25" s="164">
        <f t="shared" si="2"/>
        <v>0</v>
      </c>
      <c r="AF25" s="165">
        <f t="shared" si="27"/>
        <v>0</v>
      </c>
      <c r="AG25" s="165">
        <f t="shared" si="28"/>
        <v>0</v>
      </c>
      <c r="AH25" s="165">
        <f t="shared" si="29"/>
        <v>0</v>
      </c>
      <c r="AI25" s="166">
        <f t="shared" si="30"/>
        <v>0</v>
      </c>
      <c r="AJ25" s="166" t="str">
        <f t="shared" si="7"/>
        <v>000</v>
      </c>
      <c r="AK25" s="166" t="str">
        <f t="shared" si="8"/>
        <v>000</v>
      </c>
      <c r="AL25" s="167"/>
      <c r="AM25" s="168" t="str">
        <f t="shared" si="31"/>
        <v>км 0+000 - км 0+000</v>
      </c>
      <c r="AN25" s="169" t="str">
        <f t="shared" si="10"/>
        <v/>
      </c>
      <c r="AO25" s="170" t="e">
        <f t="shared" si="11"/>
        <v>#VALUE!</v>
      </c>
      <c r="AP25" s="171">
        <f>MIN(V25:AC25)</f>
        <v>0</v>
      </c>
      <c r="AQ25" s="172">
        <f>AP25*C25</f>
        <v>0</v>
      </c>
      <c r="AR25" s="173"/>
      <c r="AS25" s="174">
        <f t="shared" si="34"/>
        <v>0</v>
      </c>
      <c r="AT25" s="174">
        <f t="shared" si="34"/>
        <v>0</v>
      </c>
      <c r="AU25" s="175">
        <f t="shared" si="13"/>
        <v>0</v>
      </c>
      <c r="AV25" s="176">
        <f t="shared" si="14"/>
        <v>0</v>
      </c>
      <c r="AW25" s="176" t="str">
        <f t="shared" si="15"/>
        <v>-</v>
      </c>
      <c r="AX25" s="177"/>
      <c r="AY25" s="178" t="str">
        <f t="shared" si="16"/>
        <v>км 0+000 - км 0+000</v>
      </c>
      <c r="AZ25" s="179" t="str">
        <f t="shared" si="17"/>
        <v>-</v>
      </c>
      <c r="BA25" s="180">
        <f t="shared" si="18"/>
        <v>0.5</v>
      </c>
      <c r="BB25" s="177"/>
      <c r="BC25" s="177"/>
      <c r="BD25" s="175" t="str">
        <f t="shared" si="19"/>
        <v>км 0+000 - км 0+000</v>
      </c>
      <c r="BE25" s="181">
        <f t="shared" si="20"/>
        <v>0.5</v>
      </c>
      <c r="BF25" s="182" t="e">
        <f t="shared" ca="1" si="33"/>
        <v>#N/A</v>
      </c>
    </row>
    <row r="26" spans="1:58" ht="16.5" x14ac:dyDescent="0.25">
      <c r="A26" s="110">
        <f t="shared" si="23"/>
        <v>0</v>
      </c>
      <c r="B26" s="110"/>
      <c r="C26" s="111">
        <f t="shared" si="22"/>
        <v>0</v>
      </c>
      <c r="D26" s="112"/>
      <c r="E26" s="113"/>
      <c r="F26" s="113"/>
      <c r="G26" s="113"/>
      <c r="H26" s="113"/>
      <c r="I26" s="113"/>
      <c r="J26" s="113"/>
      <c r="K26" s="113"/>
      <c r="L26" s="113"/>
      <c r="M26" s="114"/>
      <c r="N26" s="147" t="str">
        <f>IFERROR(VLOOKUP($F26,Лист1!$A$4:$F$72,2,FALSE),"")</f>
        <v/>
      </c>
      <c r="O26" s="147" t="str">
        <f>IFERROR(VLOOKUP($G26,Лист1!$A$4:$F$72,2,FALSE),"")</f>
        <v/>
      </c>
      <c r="P26" s="115" t="str">
        <f>IFERROR(VLOOKUP($H26,Лист1!$A$4:$F$72,2,FALSE),"")</f>
        <v/>
      </c>
      <c r="Q26" s="115" t="str">
        <f>IFERROR(VLOOKUP($I26,Лист1!$A$4:$F$72,2,FALSE),"")</f>
        <v/>
      </c>
      <c r="R26" s="115" t="str">
        <f>IFERROR(VLOOKUP($J26,Лист1!$A$4:$F$72,2,FALSE),"")</f>
        <v/>
      </c>
      <c r="S26" s="115" t="str">
        <f>IFERROR(VLOOKUP($K26,Лист1!$A$4:$F$72,2,FALSE),"")</f>
        <v/>
      </c>
      <c r="T26" s="115" t="str">
        <f>IFERROR(VLOOKUP($L26,Лист1!$A$4:$F$72,2,FALSE),"")</f>
        <v/>
      </c>
      <c r="U26" s="115" t="str">
        <f t="shared" si="0"/>
        <v/>
      </c>
      <c r="V26" s="148" t="str">
        <f>IFERROR(VLOOKUP($F26,Лист1!$A$4:$F$72,3,FALSE),"")</f>
        <v/>
      </c>
      <c r="W26" s="116" t="str">
        <f>IFERROR(VLOOKUP($G26,Лист1!$A$4:$F$72,3,FALSE),"")</f>
        <v/>
      </c>
      <c r="X26" s="116" t="str">
        <f>IFERROR(VLOOKUP($H26,Лист1!$A$4:$F$72,3,FALSE),"")</f>
        <v/>
      </c>
      <c r="Y26" s="116" t="str">
        <f>IFERROR(VLOOKUP($I26,Лист1!$A$4:$F$72,3,FALSE),"")</f>
        <v/>
      </c>
      <c r="Z26" s="116" t="str">
        <f>IFERROR(VLOOKUP($J26,Лист1!$A$4:$F$72,3,FALSE),"")</f>
        <v/>
      </c>
      <c r="AA26" s="116" t="str">
        <f>IFERROR(VLOOKUP($K26,Лист1!$A$4:$F$72,3,FALSE),"")</f>
        <v/>
      </c>
      <c r="AB26" s="116" t="str">
        <f>IFERROR(VLOOKUP($L26,Лист1!$A$4:$F$72,3,FALSE),"")</f>
        <v/>
      </c>
      <c r="AC26" s="116" t="str">
        <f>IFERROR(VLOOKUP($M26,Лист1!$A$4:$F$72,3,FALSE),"")</f>
        <v/>
      </c>
      <c r="AD26" s="152">
        <f t="shared" ref="AD26:AD89" si="35">ROUND(AE25,3)</f>
        <v>0</v>
      </c>
      <c r="AE26" s="118">
        <f t="shared" ref="AE26:AE89" si="36">ROUND(AD26+C26,3)</f>
        <v>0</v>
      </c>
      <c r="AF26" s="119">
        <f t="shared" ref="AF26:AF89" si="37">ROUND(ROUNDDOWN(AD26,0),0)</f>
        <v>0</v>
      </c>
      <c r="AG26" s="119">
        <f t="shared" ref="AG26:AG89" si="38">ROUND((AD26-AF26)*1000,0)</f>
        <v>0</v>
      </c>
      <c r="AH26" s="119">
        <f t="shared" ref="AH26:AH89" si="39">ROUND(ROUNDDOWN(AE26,0),0)</f>
        <v>0</v>
      </c>
      <c r="AI26" s="121">
        <f t="shared" ref="AI26:AI89" si="40">ROUND((AE26-AH26)*1000,0)</f>
        <v>0</v>
      </c>
      <c r="AJ26" s="121" t="str">
        <f t="shared" si="7"/>
        <v>000</v>
      </c>
      <c r="AK26" s="121" t="str">
        <f t="shared" si="8"/>
        <v>000</v>
      </c>
      <c r="AL26" s="122"/>
      <c r="AM26" s="123" t="str">
        <f t="shared" ref="AM26:AM89" si="41">CONCATENATE("км ",AF26,"+",AJ26," - км ",AH26,"+",AK26)</f>
        <v>км 0+000 - км 0+000</v>
      </c>
      <c r="AN26" s="124" t="str">
        <f t="shared" si="10"/>
        <v/>
      </c>
      <c r="AO26" s="153" t="e">
        <f t="shared" si="11"/>
        <v>#VALUE!</v>
      </c>
      <c r="AP26" s="125">
        <f t="shared" ref="AP26:AP89" si="42">MIN(V26:AC26)</f>
        <v>0</v>
      </c>
      <c r="AQ26" s="120">
        <f t="shared" ref="AQ26:AQ89" si="43">AP26*C26</f>
        <v>0</v>
      </c>
      <c r="AR26" s="126"/>
      <c r="AS26" s="127">
        <f t="shared" ref="AS26:AS89" si="44">AD26</f>
        <v>0</v>
      </c>
      <c r="AT26" s="127">
        <f t="shared" ref="AT26:AT89" si="45">AE26</f>
        <v>0</v>
      </c>
      <c r="AU26" s="128">
        <f t="shared" ref="AU26:AU89" si="46">E26</f>
        <v>0</v>
      </c>
      <c r="AV26" s="129">
        <f t="shared" ref="AV26:AV89" si="47">D26</f>
        <v>0</v>
      </c>
      <c r="AW26" s="129" t="str">
        <f t="shared" ref="AW26:AW89" si="48">IF(AP26=0,"-",AP26)</f>
        <v>-</v>
      </c>
      <c r="AX26" s="130"/>
      <c r="AY26" s="127" t="str">
        <f t="shared" si="16"/>
        <v>км 0+000 - км 0+000</v>
      </c>
      <c r="AZ26" s="129" t="str">
        <f t="shared" si="17"/>
        <v>-</v>
      </c>
      <c r="BA26" s="131">
        <f t="shared" si="18"/>
        <v>0.5</v>
      </c>
      <c r="BB26" s="130"/>
      <c r="BC26" s="130"/>
      <c r="BD26" s="128" t="str">
        <f t="shared" si="19"/>
        <v>км 0+000 - км 0+000</v>
      </c>
      <c r="BE26" s="131">
        <f t="shared" si="20"/>
        <v>0.5</v>
      </c>
      <c r="BF26" s="154" t="e">
        <f t="shared" ref="BF26:BF89" ca="1" si="49">ROUND(BE26*$N$4,0)</f>
        <v>#N/A</v>
      </c>
    </row>
    <row r="27" spans="1:58" ht="16.5" x14ac:dyDescent="0.25">
      <c r="A27" s="110">
        <f t="shared" si="23"/>
        <v>0</v>
      </c>
      <c r="B27" s="110"/>
      <c r="C27" s="111">
        <f t="shared" si="22"/>
        <v>0</v>
      </c>
      <c r="D27" s="155"/>
      <c r="E27" s="156"/>
      <c r="F27" s="156"/>
      <c r="G27" s="157"/>
      <c r="H27" s="157"/>
      <c r="I27" s="157"/>
      <c r="J27" s="157"/>
      <c r="K27" s="157"/>
      <c r="L27" s="157"/>
      <c r="M27" s="158"/>
      <c r="N27" s="159" t="str">
        <f>IFERROR(VLOOKUP($F27,Лист1!$A$4:$F$72,2,FALSE),"")</f>
        <v/>
      </c>
      <c r="O27" s="159" t="str">
        <f>IFERROR(VLOOKUP($G27,Лист1!$A$4:$F$72,2,FALSE),"")</f>
        <v/>
      </c>
      <c r="P27" s="160" t="str">
        <f>IFERROR(VLOOKUP($H27,Лист1!$A$4:$F$72,2,FALSE),"")</f>
        <v/>
      </c>
      <c r="Q27" s="160" t="str">
        <f>IFERROR(VLOOKUP($I27,Лист1!$A$4:$F$72,2,FALSE),"")</f>
        <v/>
      </c>
      <c r="R27" s="160" t="str">
        <f>IFERROR(VLOOKUP($J27,Лист1!$A$4:$F$72,2,FALSE),"")</f>
        <v/>
      </c>
      <c r="S27" s="160" t="str">
        <f>IFERROR(VLOOKUP($K27,Лист1!$A$4:$F$72,2,FALSE),"")</f>
        <v/>
      </c>
      <c r="T27" s="160" t="str">
        <f>IFERROR(VLOOKUP($L27,Лист1!$A$4:$F$72,2,FALSE),"")</f>
        <v/>
      </c>
      <c r="U27" s="160" t="str">
        <f t="shared" si="0"/>
        <v/>
      </c>
      <c r="V27" s="161" t="str">
        <f>IFERROR(VLOOKUP($F27,Лист1!$A$4:$F$72,3,FALSE),"")</f>
        <v/>
      </c>
      <c r="W27" s="162" t="str">
        <f>IFERROR(VLOOKUP($G27,Лист1!$A$4:$F$72,3,FALSE),"")</f>
        <v/>
      </c>
      <c r="X27" s="162" t="str">
        <f>IFERROR(VLOOKUP($H27,Лист1!$A$4:$F$72,3,FALSE),"")</f>
        <v/>
      </c>
      <c r="Y27" s="162" t="str">
        <f>IFERROR(VLOOKUP($I27,Лист1!$A$4:$F$72,3,FALSE),"")</f>
        <v/>
      </c>
      <c r="Z27" s="162" t="str">
        <f>IFERROR(VLOOKUP($J27,Лист1!$A$4:$F$72,3,FALSE),"")</f>
        <v/>
      </c>
      <c r="AA27" s="162" t="str">
        <f>IFERROR(VLOOKUP($K27,Лист1!$A$4:$F$72,3,FALSE),"")</f>
        <v/>
      </c>
      <c r="AB27" s="162" t="str">
        <f>IFERROR(VLOOKUP($L27,Лист1!$A$4:$F$72,3,FALSE),"")</f>
        <v/>
      </c>
      <c r="AC27" s="162" t="str">
        <f>IFERROR(VLOOKUP($M27,Лист1!$A$4:$F$72,3,FALSE),"")</f>
        <v/>
      </c>
      <c r="AD27" s="163">
        <f t="shared" si="35"/>
        <v>0</v>
      </c>
      <c r="AE27" s="164">
        <f t="shared" si="36"/>
        <v>0</v>
      </c>
      <c r="AF27" s="165">
        <f t="shared" si="37"/>
        <v>0</v>
      </c>
      <c r="AG27" s="165">
        <f t="shared" si="38"/>
        <v>0</v>
      </c>
      <c r="AH27" s="165">
        <f t="shared" si="39"/>
        <v>0</v>
      </c>
      <c r="AI27" s="166">
        <f t="shared" si="40"/>
        <v>0</v>
      </c>
      <c r="AJ27" s="166" t="str">
        <f t="shared" si="7"/>
        <v>000</v>
      </c>
      <c r="AK27" s="166" t="str">
        <f t="shared" si="8"/>
        <v>000</v>
      </c>
      <c r="AL27" s="167"/>
      <c r="AM27" s="168" t="str">
        <f t="shared" si="41"/>
        <v>км 0+000 - км 0+000</v>
      </c>
      <c r="AN27" s="169" t="str">
        <f t="shared" si="10"/>
        <v/>
      </c>
      <c r="AO27" s="170" t="e">
        <f t="shared" si="11"/>
        <v>#VALUE!</v>
      </c>
      <c r="AP27" s="171">
        <f t="shared" si="42"/>
        <v>0</v>
      </c>
      <c r="AQ27" s="172">
        <f t="shared" si="43"/>
        <v>0</v>
      </c>
      <c r="AR27" s="173"/>
      <c r="AS27" s="174">
        <f t="shared" si="44"/>
        <v>0</v>
      </c>
      <c r="AT27" s="174">
        <f t="shared" si="45"/>
        <v>0</v>
      </c>
      <c r="AU27" s="175">
        <f t="shared" si="46"/>
        <v>0</v>
      </c>
      <c r="AV27" s="176">
        <f t="shared" si="47"/>
        <v>0</v>
      </c>
      <c r="AW27" s="176" t="str">
        <f t="shared" si="48"/>
        <v>-</v>
      </c>
      <c r="AX27" s="177"/>
      <c r="AY27" s="178" t="str">
        <f t="shared" si="16"/>
        <v>км 0+000 - км 0+000</v>
      </c>
      <c r="AZ27" s="179" t="str">
        <f t="shared" si="17"/>
        <v>-</v>
      </c>
      <c r="BA27" s="180">
        <f t="shared" si="18"/>
        <v>0.5</v>
      </c>
      <c r="BB27" s="177"/>
      <c r="BC27" s="177"/>
      <c r="BD27" s="175" t="str">
        <f t="shared" si="19"/>
        <v>км 0+000 - км 0+000</v>
      </c>
      <c r="BE27" s="181">
        <f t="shared" si="20"/>
        <v>0.5</v>
      </c>
      <c r="BF27" s="182" t="e">
        <f t="shared" ca="1" si="49"/>
        <v>#N/A</v>
      </c>
    </row>
    <row r="28" spans="1:58" ht="16.5" x14ac:dyDescent="0.25">
      <c r="A28" s="110">
        <f t="shared" si="23"/>
        <v>0</v>
      </c>
      <c r="B28" s="110"/>
      <c r="C28" s="111">
        <f t="shared" si="22"/>
        <v>0</v>
      </c>
      <c r="D28" s="112"/>
      <c r="E28" s="113"/>
      <c r="F28" s="113"/>
      <c r="G28" s="113"/>
      <c r="H28" s="113"/>
      <c r="I28" s="113"/>
      <c r="J28" s="113"/>
      <c r="K28" s="113"/>
      <c r="L28" s="113"/>
      <c r="M28" s="114"/>
      <c r="N28" s="147" t="str">
        <f>IFERROR(VLOOKUP($F28,Лист1!$A$4:$F$72,2,FALSE),"")</f>
        <v/>
      </c>
      <c r="O28" s="147" t="str">
        <f>IFERROR(VLOOKUP($G28,Лист1!$A$4:$F$72,2,FALSE),"")</f>
        <v/>
      </c>
      <c r="P28" s="115" t="str">
        <f>IFERROR(VLOOKUP($H28,Лист1!$A$4:$F$72,2,FALSE),"")</f>
        <v/>
      </c>
      <c r="Q28" s="115" t="str">
        <f>IFERROR(VLOOKUP($I28,Лист1!$A$4:$F$72,2,FALSE),"")</f>
        <v/>
      </c>
      <c r="R28" s="115" t="str">
        <f>IFERROR(VLOOKUP($J28,Лист1!$A$4:$F$72,2,FALSE),"")</f>
        <v/>
      </c>
      <c r="S28" s="115" t="str">
        <f>IFERROR(VLOOKUP($K28,Лист1!$A$4:$F$72,2,FALSE),"")</f>
        <v/>
      </c>
      <c r="T28" s="115" t="str">
        <f>IFERROR(VLOOKUP($L28,Лист1!$A$4:$F$72,2,FALSE),"")</f>
        <v/>
      </c>
      <c r="U28" s="115" t="str">
        <f t="shared" si="0"/>
        <v/>
      </c>
      <c r="V28" s="148" t="str">
        <f>IFERROR(VLOOKUP($F28,Лист1!$A$4:$F$72,3,FALSE),"")</f>
        <v/>
      </c>
      <c r="W28" s="116" t="str">
        <f>IFERROR(VLOOKUP($G28,Лист1!$A$4:$F$72,3,FALSE),"")</f>
        <v/>
      </c>
      <c r="X28" s="116" t="str">
        <f>IFERROR(VLOOKUP($H28,Лист1!$A$4:$F$72,3,FALSE),"")</f>
        <v/>
      </c>
      <c r="Y28" s="116" t="str">
        <f>IFERROR(VLOOKUP($I28,Лист1!$A$4:$F$72,3,FALSE),"")</f>
        <v/>
      </c>
      <c r="Z28" s="116" t="str">
        <f>IFERROR(VLOOKUP($J28,Лист1!$A$4:$F$72,3,FALSE),"")</f>
        <v/>
      </c>
      <c r="AA28" s="116" t="str">
        <f>IFERROR(VLOOKUP($K28,Лист1!$A$4:$F$72,3,FALSE),"")</f>
        <v/>
      </c>
      <c r="AB28" s="116" t="str">
        <f>IFERROR(VLOOKUP($L28,Лист1!$A$4:$F$72,3,FALSE),"")</f>
        <v/>
      </c>
      <c r="AC28" s="116" t="str">
        <f>IFERROR(VLOOKUP($M28,Лист1!$A$4:$F$72,3,FALSE),"")</f>
        <v/>
      </c>
      <c r="AD28" s="152">
        <f t="shared" si="35"/>
        <v>0</v>
      </c>
      <c r="AE28" s="118">
        <f t="shared" si="36"/>
        <v>0</v>
      </c>
      <c r="AF28" s="119">
        <f t="shared" si="37"/>
        <v>0</v>
      </c>
      <c r="AG28" s="119">
        <f t="shared" si="38"/>
        <v>0</v>
      </c>
      <c r="AH28" s="119">
        <f t="shared" si="39"/>
        <v>0</v>
      </c>
      <c r="AI28" s="121">
        <f t="shared" si="40"/>
        <v>0</v>
      </c>
      <c r="AJ28" s="121" t="str">
        <f t="shared" si="7"/>
        <v>000</v>
      </c>
      <c r="AK28" s="121" t="str">
        <f t="shared" si="8"/>
        <v>000</v>
      </c>
      <c r="AL28" s="122"/>
      <c r="AM28" s="123" t="str">
        <f t="shared" si="41"/>
        <v>км 0+000 - км 0+000</v>
      </c>
      <c r="AN28" s="124" t="str">
        <f t="shared" si="10"/>
        <v/>
      </c>
      <c r="AO28" s="153" t="e">
        <f t="shared" si="11"/>
        <v>#VALUE!</v>
      </c>
      <c r="AP28" s="125">
        <f t="shared" si="42"/>
        <v>0</v>
      </c>
      <c r="AQ28" s="120">
        <f t="shared" si="43"/>
        <v>0</v>
      </c>
      <c r="AR28" s="126"/>
      <c r="AS28" s="127">
        <f t="shared" si="44"/>
        <v>0</v>
      </c>
      <c r="AT28" s="127">
        <f t="shared" si="45"/>
        <v>0</v>
      </c>
      <c r="AU28" s="128">
        <f t="shared" si="46"/>
        <v>0</v>
      </c>
      <c r="AV28" s="129">
        <f t="shared" si="47"/>
        <v>0</v>
      </c>
      <c r="AW28" s="129" t="str">
        <f t="shared" si="48"/>
        <v>-</v>
      </c>
      <c r="AX28" s="130"/>
      <c r="AY28" s="127" t="str">
        <f t="shared" si="16"/>
        <v>км 0+000 - км 0+000</v>
      </c>
      <c r="AZ28" s="129" t="str">
        <f t="shared" si="17"/>
        <v>-</v>
      </c>
      <c r="BA28" s="131">
        <f t="shared" si="18"/>
        <v>0.5</v>
      </c>
      <c r="BB28" s="130"/>
      <c r="BC28" s="130"/>
      <c r="BD28" s="128" t="str">
        <f t="shared" si="19"/>
        <v>км 0+000 - км 0+000</v>
      </c>
      <c r="BE28" s="131">
        <f t="shared" si="20"/>
        <v>0.5</v>
      </c>
      <c r="BF28" s="154" t="e">
        <f t="shared" ca="1" si="49"/>
        <v>#N/A</v>
      </c>
    </row>
    <row r="29" spans="1:58" ht="16.5" x14ac:dyDescent="0.25">
      <c r="A29" s="110">
        <f t="shared" si="23"/>
        <v>0</v>
      </c>
      <c r="B29" s="110"/>
      <c r="C29" s="111">
        <f t="shared" si="22"/>
        <v>0</v>
      </c>
      <c r="D29" s="155"/>
      <c r="E29" s="156"/>
      <c r="F29" s="156"/>
      <c r="G29" s="157"/>
      <c r="H29" s="157"/>
      <c r="I29" s="157"/>
      <c r="J29" s="157"/>
      <c r="K29" s="157"/>
      <c r="L29" s="157"/>
      <c r="M29" s="158"/>
      <c r="N29" s="159" t="str">
        <f>IFERROR(VLOOKUP($F29,Лист1!$A$4:$F$72,2,FALSE),"")</f>
        <v/>
      </c>
      <c r="O29" s="159" t="str">
        <f>IFERROR(VLOOKUP($G29,Лист1!$A$4:$F$72,2,FALSE),"")</f>
        <v/>
      </c>
      <c r="P29" s="160" t="str">
        <f>IFERROR(VLOOKUP($H29,Лист1!$A$4:$F$72,2,FALSE),"")</f>
        <v/>
      </c>
      <c r="Q29" s="160" t="str">
        <f>IFERROR(VLOOKUP($I29,Лист1!$A$4:$F$72,2,FALSE),"")</f>
        <v/>
      </c>
      <c r="R29" s="160" t="str">
        <f>IFERROR(VLOOKUP($J29,Лист1!$A$4:$F$72,2,FALSE),"")</f>
        <v/>
      </c>
      <c r="S29" s="160" t="str">
        <f>IFERROR(VLOOKUP($K29,Лист1!$A$4:$F$72,2,FALSE),"")</f>
        <v/>
      </c>
      <c r="T29" s="160" t="str">
        <f>IFERROR(VLOOKUP($L29,Лист1!$A$4:$F$72,2,FALSE),"")</f>
        <v/>
      </c>
      <c r="U29" s="160" t="str">
        <f t="shared" si="0"/>
        <v/>
      </c>
      <c r="V29" s="161" t="str">
        <f>IFERROR(VLOOKUP($F29,Лист1!$A$4:$F$72,3,FALSE),"")</f>
        <v/>
      </c>
      <c r="W29" s="162" t="str">
        <f>IFERROR(VLOOKUP($G29,Лист1!$A$4:$F$72,3,FALSE),"")</f>
        <v/>
      </c>
      <c r="X29" s="162" t="str">
        <f>IFERROR(VLOOKUP($H29,Лист1!$A$4:$F$72,3,FALSE),"")</f>
        <v/>
      </c>
      <c r="Y29" s="162" t="str">
        <f>IFERROR(VLOOKUP($I29,Лист1!$A$4:$F$72,3,FALSE),"")</f>
        <v/>
      </c>
      <c r="Z29" s="162" t="str">
        <f>IFERROR(VLOOKUP($J29,Лист1!$A$4:$F$72,3,FALSE),"")</f>
        <v/>
      </c>
      <c r="AA29" s="162" t="str">
        <f>IFERROR(VLOOKUP($K29,Лист1!$A$4:$F$72,3,FALSE),"")</f>
        <v/>
      </c>
      <c r="AB29" s="162" t="str">
        <f>IFERROR(VLOOKUP($L29,Лист1!$A$4:$F$72,3,FALSE),"")</f>
        <v/>
      </c>
      <c r="AC29" s="162" t="str">
        <f>IFERROR(VLOOKUP($M29,Лист1!$A$4:$F$72,3,FALSE),"")</f>
        <v/>
      </c>
      <c r="AD29" s="163">
        <f t="shared" si="35"/>
        <v>0</v>
      </c>
      <c r="AE29" s="164">
        <f t="shared" si="36"/>
        <v>0</v>
      </c>
      <c r="AF29" s="165">
        <f t="shared" si="37"/>
        <v>0</v>
      </c>
      <c r="AG29" s="165">
        <f t="shared" si="38"/>
        <v>0</v>
      </c>
      <c r="AH29" s="165">
        <f t="shared" si="39"/>
        <v>0</v>
      </c>
      <c r="AI29" s="166">
        <f t="shared" si="40"/>
        <v>0</v>
      </c>
      <c r="AJ29" s="166" t="str">
        <f t="shared" si="7"/>
        <v>000</v>
      </c>
      <c r="AK29" s="166" t="str">
        <f t="shared" si="8"/>
        <v>000</v>
      </c>
      <c r="AL29" s="167"/>
      <c r="AM29" s="168" t="str">
        <f t="shared" si="41"/>
        <v>км 0+000 - км 0+000</v>
      </c>
      <c r="AN29" s="169" t="str">
        <f t="shared" si="10"/>
        <v/>
      </c>
      <c r="AO29" s="170" t="e">
        <f t="shared" si="11"/>
        <v>#VALUE!</v>
      </c>
      <c r="AP29" s="171">
        <f t="shared" si="42"/>
        <v>0</v>
      </c>
      <c r="AQ29" s="172">
        <f t="shared" si="43"/>
        <v>0</v>
      </c>
      <c r="AR29" s="173"/>
      <c r="AS29" s="174">
        <f t="shared" si="44"/>
        <v>0</v>
      </c>
      <c r="AT29" s="174">
        <f t="shared" si="45"/>
        <v>0</v>
      </c>
      <c r="AU29" s="175">
        <f t="shared" si="46"/>
        <v>0</v>
      </c>
      <c r="AV29" s="176">
        <f t="shared" si="47"/>
        <v>0</v>
      </c>
      <c r="AW29" s="176" t="str">
        <f t="shared" si="48"/>
        <v>-</v>
      </c>
      <c r="AX29" s="177"/>
      <c r="AY29" s="178" t="str">
        <f t="shared" si="16"/>
        <v>км 0+000 - км 0+000</v>
      </c>
      <c r="AZ29" s="179" t="str">
        <f t="shared" si="17"/>
        <v>-</v>
      </c>
      <c r="BA29" s="180">
        <f t="shared" si="18"/>
        <v>0.5</v>
      </c>
      <c r="BB29" s="177"/>
      <c r="BC29" s="177"/>
      <c r="BD29" s="175" t="str">
        <f t="shared" si="19"/>
        <v>км 0+000 - км 0+000</v>
      </c>
      <c r="BE29" s="181">
        <f t="shared" si="20"/>
        <v>0.5</v>
      </c>
      <c r="BF29" s="182" t="e">
        <f t="shared" ca="1" si="49"/>
        <v>#N/A</v>
      </c>
    </row>
    <row r="30" spans="1:58" ht="16.5" x14ac:dyDescent="0.25">
      <c r="A30" s="110">
        <f t="shared" si="23"/>
        <v>0</v>
      </c>
      <c r="B30" s="110"/>
      <c r="C30" s="111">
        <f t="shared" si="22"/>
        <v>0</v>
      </c>
      <c r="D30" s="112"/>
      <c r="E30" s="113"/>
      <c r="F30" s="113"/>
      <c r="G30" s="113"/>
      <c r="H30" s="113"/>
      <c r="I30" s="113"/>
      <c r="J30" s="113"/>
      <c r="K30" s="113"/>
      <c r="L30" s="113"/>
      <c r="M30" s="114"/>
      <c r="N30" s="147" t="str">
        <f>IFERROR(VLOOKUP($F30,Лист1!$A$4:$F$72,2,FALSE),"")</f>
        <v/>
      </c>
      <c r="O30" s="147" t="str">
        <f>IFERROR(VLOOKUP($G30,Лист1!$A$4:$F$72,2,FALSE),"")</f>
        <v/>
      </c>
      <c r="P30" s="115" t="str">
        <f>IFERROR(VLOOKUP($H30,Лист1!$A$4:$F$72,2,FALSE),"")</f>
        <v/>
      </c>
      <c r="Q30" s="115" t="str">
        <f>IFERROR(VLOOKUP($I30,Лист1!$A$4:$F$72,2,FALSE),"")</f>
        <v/>
      </c>
      <c r="R30" s="115" t="str">
        <f>IFERROR(VLOOKUP($J30,Лист1!$A$4:$F$72,2,FALSE),"")</f>
        <v/>
      </c>
      <c r="S30" s="115" t="str">
        <f>IFERROR(VLOOKUP($K30,Лист1!$A$4:$F$72,2,FALSE),"")</f>
        <v/>
      </c>
      <c r="T30" s="115" t="str">
        <f>IFERROR(VLOOKUP($L30,Лист1!$A$4:$F$72,2,FALSE),"")</f>
        <v/>
      </c>
      <c r="U30" s="115" t="str">
        <f t="shared" si="0"/>
        <v/>
      </c>
      <c r="V30" s="148" t="str">
        <f>IFERROR(VLOOKUP($F30,Лист1!$A$4:$F$72,3,FALSE),"")</f>
        <v/>
      </c>
      <c r="W30" s="116" t="str">
        <f>IFERROR(VLOOKUP($G30,Лист1!$A$4:$F$72,3,FALSE),"")</f>
        <v/>
      </c>
      <c r="X30" s="116" t="str">
        <f>IFERROR(VLOOKUP($H30,Лист1!$A$4:$F$72,3,FALSE),"")</f>
        <v/>
      </c>
      <c r="Y30" s="116" t="str">
        <f>IFERROR(VLOOKUP($I30,Лист1!$A$4:$F$72,3,FALSE),"")</f>
        <v/>
      </c>
      <c r="Z30" s="116" t="str">
        <f>IFERROR(VLOOKUP($J30,Лист1!$A$4:$F$72,3,FALSE),"")</f>
        <v/>
      </c>
      <c r="AA30" s="116" t="str">
        <f>IFERROR(VLOOKUP($K30,Лист1!$A$4:$F$72,3,FALSE),"")</f>
        <v/>
      </c>
      <c r="AB30" s="116" t="str">
        <f>IFERROR(VLOOKUP($L30,Лист1!$A$4:$F$72,3,FALSE),"")</f>
        <v/>
      </c>
      <c r="AC30" s="116" t="str">
        <f>IFERROR(VLOOKUP($M30,Лист1!$A$4:$F$72,3,FALSE),"")</f>
        <v/>
      </c>
      <c r="AD30" s="152">
        <f t="shared" si="35"/>
        <v>0</v>
      </c>
      <c r="AE30" s="118">
        <f t="shared" si="36"/>
        <v>0</v>
      </c>
      <c r="AF30" s="119">
        <f t="shared" si="37"/>
        <v>0</v>
      </c>
      <c r="AG30" s="119">
        <f t="shared" si="38"/>
        <v>0</v>
      </c>
      <c r="AH30" s="119">
        <f t="shared" si="39"/>
        <v>0</v>
      </c>
      <c r="AI30" s="121">
        <f t="shared" si="40"/>
        <v>0</v>
      </c>
      <c r="AJ30" s="121" t="str">
        <f t="shared" si="7"/>
        <v>000</v>
      </c>
      <c r="AK30" s="121" t="str">
        <f t="shared" si="8"/>
        <v>000</v>
      </c>
      <c r="AL30" s="122"/>
      <c r="AM30" s="123" t="str">
        <f t="shared" si="41"/>
        <v>км 0+000 - км 0+000</v>
      </c>
      <c r="AN30" s="124" t="str">
        <f t="shared" si="10"/>
        <v/>
      </c>
      <c r="AO30" s="153" t="e">
        <f t="shared" si="11"/>
        <v>#VALUE!</v>
      </c>
      <c r="AP30" s="125">
        <f t="shared" si="42"/>
        <v>0</v>
      </c>
      <c r="AQ30" s="120">
        <f t="shared" si="43"/>
        <v>0</v>
      </c>
      <c r="AR30" s="126"/>
      <c r="AS30" s="127">
        <f t="shared" si="44"/>
        <v>0</v>
      </c>
      <c r="AT30" s="127">
        <f t="shared" si="45"/>
        <v>0</v>
      </c>
      <c r="AU30" s="128">
        <f t="shared" si="46"/>
        <v>0</v>
      </c>
      <c r="AV30" s="129">
        <f t="shared" si="47"/>
        <v>0</v>
      </c>
      <c r="AW30" s="129" t="str">
        <f t="shared" si="48"/>
        <v>-</v>
      </c>
      <c r="AX30" s="130"/>
      <c r="AY30" s="127" t="str">
        <f t="shared" si="16"/>
        <v>км 0+000 - км 0+000</v>
      </c>
      <c r="AZ30" s="129" t="str">
        <f t="shared" si="17"/>
        <v>-</v>
      </c>
      <c r="BA30" s="131">
        <f t="shared" si="18"/>
        <v>0.5</v>
      </c>
      <c r="BB30" s="130"/>
      <c r="BC30" s="130"/>
      <c r="BD30" s="128" t="str">
        <f t="shared" si="19"/>
        <v>км 0+000 - км 0+000</v>
      </c>
      <c r="BE30" s="131">
        <f t="shared" si="20"/>
        <v>0.5</v>
      </c>
      <c r="BF30" s="154" t="e">
        <f t="shared" ca="1" si="49"/>
        <v>#N/A</v>
      </c>
    </row>
    <row r="31" spans="1:58" ht="16.5" x14ac:dyDescent="0.25">
      <c r="A31" s="110">
        <f t="shared" si="23"/>
        <v>0</v>
      </c>
      <c r="B31" s="110"/>
      <c r="C31" s="111">
        <f t="shared" si="22"/>
        <v>0</v>
      </c>
      <c r="D31" s="155"/>
      <c r="E31" s="156"/>
      <c r="F31" s="156"/>
      <c r="G31" s="157"/>
      <c r="H31" s="157"/>
      <c r="I31" s="157"/>
      <c r="J31" s="157"/>
      <c r="K31" s="157"/>
      <c r="L31" s="157"/>
      <c r="M31" s="158"/>
      <c r="N31" s="159" t="str">
        <f>IFERROR(VLOOKUP($F31,Лист1!$A$4:$F$72,2,FALSE),"")</f>
        <v/>
      </c>
      <c r="O31" s="159" t="str">
        <f>IFERROR(VLOOKUP($G31,Лист1!$A$4:$F$72,2,FALSE),"")</f>
        <v/>
      </c>
      <c r="P31" s="160" t="str">
        <f>IFERROR(VLOOKUP($H31,Лист1!$A$4:$F$72,2,FALSE),"")</f>
        <v/>
      </c>
      <c r="Q31" s="160" t="str">
        <f>IFERROR(VLOOKUP($I31,Лист1!$A$4:$F$72,2,FALSE),"")</f>
        <v/>
      </c>
      <c r="R31" s="160" t="str">
        <f>IFERROR(VLOOKUP($J31,Лист1!$A$4:$F$72,2,FALSE),"")</f>
        <v/>
      </c>
      <c r="S31" s="160" t="str">
        <f>IFERROR(VLOOKUP($K31,Лист1!$A$4:$F$72,2,FALSE),"")</f>
        <v/>
      </c>
      <c r="T31" s="160" t="str">
        <f>IFERROR(VLOOKUP($L31,Лист1!$A$4:$F$72,2,FALSE),"")</f>
        <v/>
      </c>
      <c r="U31" s="160" t="str">
        <f t="shared" si="0"/>
        <v/>
      </c>
      <c r="V31" s="161" t="str">
        <f>IFERROR(VLOOKUP($F31,Лист1!$A$4:$F$72,3,FALSE),"")</f>
        <v/>
      </c>
      <c r="W31" s="162" t="str">
        <f>IFERROR(VLOOKUP($G31,Лист1!$A$4:$F$72,3,FALSE),"")</f>
        <v/>
      </c>
      <c r="X31" s="162" t="str">
        <f>IFERROR(VLOOKUP($H31,Лист1!$A$4:$F$72,3,FALSE),"")</f>
        <v/>
      </c>
      <c r="Y31" s="162" t="str">
        <f>IFERROR(VLOOKUP($I31,Лист1!$A$4:$F$72,3,FALSE),"")</f>
        <v/>
      </c>
      <c r="Z31" s="162" t="str">
        <f>IFERROR(VLOOKUP($J31,Лист1!$A$4:$F$72,3,FALSE),"")</f>
        <v/>
      </c>
      <c r="AA31" s="162" t="str">
        <f>IFERROR(VLOOKUP($K31,Лист1!$A$4:$F$72,3,FALSE),"")</f>
        <v/>
      </c>
      <c r="AB31" s="162" t="str">
        <f>IFERROR(VLOOKUP($L31,Лист1!$A$4:$F$72,3,FALSE),"")</f>
        <v/>
      </c>
      <c r="AC31" s="162" t="str">
        <f>IFERROR(VLOOKUP($M31,Лист1!$A$4:$F$72,3,FALSE),"")</f>
        <v/>
      </c>
      <c r="AD31" s="163">
        <f t="shared" si="35"/>
        <v>0</v>
      </c>
      <c r="AE31" s="164">
        <f t="shared" si="36"/>
        <v>0</v>
      </c>
      <c r="AF31" s="165">
        <f t="shared" si="37"/>
        <v>0</v>
      </c>
      <c r="AG31" s="165">
        <f t="shared" si="38"/>
        <v>0</v>
      </c>
      <c r="AH31" s="165">
        <f t="shared" si="39"/>
        <v>0</v>
      </c>
      <c r="AI31" s="166">
        <f t="shared" si="40"/>
        <v>0</v>
      </c>
      <c r="AJ31" s="166" t="str">
        <f t="shared" si="7"/>
        <v>000</v>
      </c>
      <c r="AK31" s="166" t="str">
        <f t="shared" si="8"/>
        <v>000</v>
      </c>
      <c r="AL31" s="167"/>
      <c r="AM31" s="168" t="str">
        <f t="shared" si="41"/>
        <v>км 0+000 - км 0+000</v>
      </c>
      <c r="AN31" s="169" t="str">
        <f t="shared" si="10"/>
        <v/>
      </c>
      <c r="AO31" s="170" t="e">
        <f t="shared" si="11"/>
        <v>#VALUE!</v>
      </c>
      <c r="AP31" s="171">
        <f t="shared" si="42"/>
        <v>0</v>
      </c>
      <c r="AQ31" s="172">
        <f t="shared" si="43"/>
        <v>0</v>
      </c>
      <c r="AR31" s="173"/>
      <c r="AS31" s="174">
        <f t="shared" si="44"/>
        <v>0</v>
      </c>
      <c r="AT31" s="174">
        <f t="shared" si="45"/>
        <v>0</v>
      </c>
      <c r="AU31" s="175">
        <f t="shared" si="46"/>
        <v>0</v>
      </c>
      <c r="AV31" s="176">
        <f t="shared" si="47"/>
        <v>0</v>
      </c>
      <c r="AW31" s="176" t="str">
        <f t="shared" si="48"/>
        <v>-</v>
      </c>
      <c r="AX31" s="177"/>
      <c r="AY31" s="178" t="str">
        <f t="shared" si="16"/>
        <v>км 0+000 - км 0+000</v>
      </c>
      <c r="AZ31" s="179" t="str">
        <f t="shared" si="17"/>
        <v>-</v>
      </c>
      <c r="BA31" s="180">
        <f t="shared" si="18"/>
        <v>0.5</v>
      </c>
      <c r="BB31" s="177"/>
      <c r="BC31" s="177"/>
      <c r="BD31" s="175" t="str">
        <f t="shared" si="19"/>
        <v>км 0+000 - км 0+000</v>
      </c>
      <c r="BE31" s="181">
        <f t="shared" si="20"/>
        <v>0.5</v>
      </c>
      <c r="BF31" s="182" t="e">
        <f t="shared" ca="1" si="49"/>
        <v>#N/A</v>
      </c>
    </row>
    <row r="32" spans="1:58" ht="16.5" x14ac:dyDescent="0.25">
      <c r="A32" s="110">
        <f t="shared" si="23"/>
        <v>0</v>
      </c>
      <c r="B32" s="110"/>
      <c r="C32" s="111">
        <f t="shared" si="22"/>
        <v>0</v>
      </c>
      <c r="D32" s="112"/>
      <c r="E32" s="113"/>
      <c r="F32" s="113"/>
      <c r="G32" s="113"/>
      <c r="H32" s="113"/>
      <c r="I32" s="113"/>
      <c r="J32" s="113"/>
      <c r="K32" s="113"/>
      <c r="L32" s="113"/>
      <c r="M32" s="114"/>
      <c r="N32" s="147" t="str">
        <f>IFERROR(VLOOKUP($F32,Лист1!$A$4:$F$72,2,FALSE),"")</f>
        <v/>
      </c>
      <c r="O32" s="147" t="str">
        <f>IFERROR(VLOOKUP($G32,Лист1!$A$4:$F$72,2,FALSE),"")</f>
        <v/>
      </c>
      <c r="P32" s="115" t="str">
        <f>IFERROR(VLOOKUP($H32,Лист1!$A$4:$F$72,2,FALSE),"")</f>
        <v/>
      </c>
      <c r="Q32" s="115" t="str">
        <f>IFERROR(VLOOKUP($I32,Лист1!$A$4:$F$72,2,FALSE),"")</f>
        <v/>
      </c>
      <c r="R32" s="115" t="str">
        <f>IFERROR(VLOOKUP($J32,Лист1!$A$4:$F$72,2,FALSE),"")</f>
        <v/>
      </c>
      <c r="S32" s="115" t="str">
        <f>IFERROR(VLOOKUP($K32,Лист1!$A$4:$F$72,2,FALSE),"")</f>
        <v/>
      </c>
      <c r="T32" s="115" t="str">
        <f>IFERROR(VLOOKUP($L32,Лист1!$A$4:$F$72,2,FALSE),"")</f>
        <v/>
      </c>
      <c r="U32" s="115" t="str">
        <f t="shared" si="0"/>
        <v/>
      </c>
      <c r="V32" s="148" t="str">
        <f>IFERROR(VLOOKUP($F32,Лист1!$A$4:$F$72,3,FALSE),"")</f>
        <v/>
      </c>
      <c r="W32" s="116" t="str">
        <f>IFERROR(VLOOKUP($G32,Лист1!$A$4:$F$72,3,FALSE),"")</f>
        <v/>
      </c>
      <c r="X32" s="116" t="str">
        <f>IFERROR(VLOOKUP($H32,Лист1!$A$4:$F$72,3,FALSE),"")</f>
        <v/>
      </c>
      <c r="Y32" s="116" t="str">
        <f>IFERROR(VLOOKUP($I32,Лист1!$A$4:$F$72,3,FALSE),"")</f>
        <v/>
      </c>
      <c r="Z32" s="116" t="str">
        <f>IFERROR(VLOOKUP($J32,Лист1!$A$4:$F$72,3,FALSE),"")</f>
        <v/>
      </c>
      <c r="AA32" s="116" t="str">
        <f>IFERROR(VLOOKUP($K32,Лист1!$A$4:$F$72,3,FALSE),"")</f>
        <v/>
      </c>
      <c r="AB32" s="116" t="str">
        <f>IFERROR(VLOOKUP($L32,Лист1!$A$4:$F$72,3,FALSE),"")</f>
        <v/>
      </c>
      <c r="AC32" s="116" t="str">
        <f>IFERROR(VLOOKUP($M32,Лист1!$A$4:$F$72,3,FALSE),"")</f>
        <v/>
      </c>
      <c r="AD32" s="152">
        <f t="shared" si="35"/>
        <v>0</v>
      </c>
      <c r="AE32" s="118">
        <f t="shared" si="36"/>
        <v>0</v>
      </c>
      <c r="AF32" s="119">
        <f t="shared" si="37"/>
        <v>0</v>
      </c>
      <c r="AG32" s="119">
        <f t="shared" si="38"/>
        <v>0</v>
      </c>
      <c r="AH32" s="119">
        <f t="shared" si="39"/>
        <v>0</v>
      </c>
      <c r="AI32" s="121">
        <f t="shared" si="40"/>
        <v>0</v>
      </c>
      <c r="AJ32" s="121" t="str">
        <f t="shared" si="7"/>
        <v>000</v>
      </c>
      <c r="AK32" s="121" t="str">
        <f t="shared" si="8"/>
        <v>000</v>
      </c>
      <c r="AL32" s="122"/>
      <c r="AM32" s="123" t="str">
        <f t="shared" si="41"/>
        <v>км 0+000 - км 0+000</v>
      </c>
      <c r="AN32" s="124" t="str">
        <f t="shared" si="10"/>
        <v/>
      </c>
      <c r="AO32" s="153" t="e">
        <f t="shared" si="11"/>
        <v>#VALUE!</v>
      </c>
      <c r="AP32" s="125">
        <f t="shared" si="42"/>
        <v>0</v>
      </c>
      <c r="AQ32" s="120">
        <f t="shared" si="43"/>
        <v>0</v>
      </c>
      <c r="AR32" s="126"/>
      <c r="AS32" s="127">
        <f t="shared" si="44"/>
        <v>0</v>
      </c>
      <c r="AT32" s="127">
        <f t="shared" si="45"/>
        <v>0</v>
      </c>
      <c r="AU32" s="128">
        <f t="shared" si="46"/>
        <v>0</v>
      </c>
      <c r="AV32" s="129">
        <f t="shared" si="47"/>
        <v>0</v>
      </c>
      <c r="AW32" s="129" t="str">
        <f t="shared" si="48"/>
        <v>-</v>
      </c>
      <c r="AX32" s="130"/>
      <c r="AY32" s="127" t="str">
        <f t="shared" si="16"/>
        <v>км 0+000 - км 0+000</v>
      </c>
      <c r="AZ32" s="129" t="str">
        <f t="shared" si="17"/>
        <v>-</v>
      </c>
      <c r="BA32" s="131">
        <f t="shared" si="18"/>
        <v>0.5</v>
      </c>
      <c r="BB32" s="130"/>
      <c r="BC32" s="130"/>
      <c r="BD32" s="128" t="str">
        <f t="shared" si="19"/>
        <v>км 0+000 - км 0+000</v>
      </c>
      <c r="BE32" s="131">
        <f t="shared" si="20"/>
        <v>0.5</v>
      </c>
      <c r="BF32" s="154" t="e">
        <f t="shared" ca="1" si="49"/>
        <v>#N/A</v>
      </c>
    </row>
    <row r="33" spans="1:58" ht="16.5" x14ac:dyDescent="0.25">
      <c r="A33" s="110">
        <f t="shared" si="23"/>
        <v>0</v>
      </c>
      <c r="B33" s="110"/>
      <c r="C33" s="111">
        <f t="shared" si="22"/>
        <v>0</v>
      </c>
      <c r="D33" s="155"/>
      <c r="E33" s="156"/>
      <c r="F33" s="156"/>
      <c r="G33" s="157"/>
      <c r="H33" s="157"/>
      <c r="I33" s="157"/>
      <c r="J33" s="157"/>
      <c r="K33" s="157"/>
      <c r="L33" s="157"/>
      <c r="M33" s="158"/>
      <c r="N33" s="159" t="str">
        <f>IFERROR(VLOOKUP($F33,Лист1!$A$4:$F$72,2,FALSE),"")</f>
        <v/>
      </c>
      <c r="O33" s="159" t="str">
        <f>IFERROR(VLOOKUP($G33,Лист1!$A$4:$F$72,2,FALSE),"")</f>
        <v/>
      </c>
      <c r="P33" s="160" t="str">
        <f>IFERROR(VLOOKUP($H33,Лист1!$A$4:$F$72,2,FALSE),"")</f>
        <v/>
      </c>
      <c r="Q33" s="160" t="str">
        <f>IFERROR(VLOOKUP($I33,Лист1!$A$4:$F$72,2,FALSE),"")</f>
        <v/>
      </c>
      <c r="R33" s="160" t="str">
        <f>IFERROR(VLOOKUP($J33,Лист1!$A$4:$F$72,2,FALSE),"")</f>
        <v/>
      </c>
      <c r="S33" s="160" t="str">
        <f>IFERROR(VLOOKUP($K33,Лист1!$A$4:$F$72,2,FALSE),"")</f>
        <v/>
      </c>
      <c r="T33" s="160" t="str">
        <f>IFERROR(VLOOKUP($L33,Лист1!$A$4:$F$72,2,FALSE),"")</f>
        <v/>
      </c>
      <c r="U33" s="160" t="str">
        <f t="shared" si="0"/>
        <v/>
      </c>
      <c r="V33" s="161" t="str">
        <f>IFERROR(VLOOKUP($F33,Лист1!$A$4:$F$72,3,FALSE),"")</f>
        <v/>
      </c>
      <c r="W33" s="162" t="str">
        <f>IFERROR(VLOOKUP($G33,Лист1!$A$4:$F$72,3,FALSE),"")</f>
        <v/>
      </c>
      <c r="X33" s="162" t="str">
        <f>IFERROR(VLOOKUP($H33,Лист1!$A$4:$F$72,3,FALSE),"")</f>
        <v/>
      </c>
      <c r="Y33" s="162" t="str">
        <f>IFERROR(VLOOKUP($I33,Лист1!$A$4:$F$72,3,FALSE),"")</f>
        <v/>
      </c>
      <c r="Z33" s="162" t="str">
        <f>IFERROR(VLOOKUP($J33,Лист1!$A$4:$F$72,3,FALSE),"")</f>
        <v/>
      </c>
      <c r="AA33" s="162" t="str">
        <f>IFERROR(VLOOKUP($K33,Лист1!$A$4:$F$72,3,FALSE),"")</f>
        <v/>
      </c>
      <c r="AB33" s="162" t="str">
        <f>IFERROR(VLOOKUP($L33,Лист1!$A$4:$F$72,3,FALSE),"")</f>
        <v/>
      </c>
      <c r="AC33" s="162" t="str">
        <f>IFERROR(VLOOKUP($M33,Лист1!$A$4:$F$72,3,FALSE),"")</f>
        <v/>
      </c>
      <c r="AD33" s="163">
        <f t="shared" si="35"/>
        <v>0</v>
      </c>
      <c r="AE33" s="164">
        <f t="shared" si="36"/>
        <v>0</v>
      </c>
      <c r="AF33" s="165">
        <f t="shared" si="37"/>
        <v>0</v>
      </c>
      <c r="AG33" s="165">
        <f t="shared" si="38"/>
        <v>0</v>
      </c>
      <c r="AH33" s="165">
        <f t="shared" si="39"/>
        <v>0</v>
      </c>
      <c r="AI33" s="166">
        <f t="shared" si="40"/>
        <v>0</v>
      </c>
      <c r="AJ33" s="166" t="str">
        <f t="shared" si="7"/>
        <v>000</v>
      </c>
      <c r="AK33" s="166" t="str">
        <f t="shared" si="8"/>
        <v>000</v>
      </c>
      <c r="AL33" s="167"/>
      <c r="AM33" s="168" t="str">
        <f t="shared" si="41"/>
        <v>км 0+000 - км 0+000</v>
      </c>
      <c r="AN33" s="169" t="str">
        <f t="shared" si="10"/>
        <v/>
      </c>
      <c r="AO33" s="170" t="e">
        <f t="shared" si="11"/>
        <v>#VALUE!</v>
      </c>
      <c r="AP33" s="171">
        <f t="shared" si="42"/>
        <v>0</v>
      </c>
      <c r="AQ33" s="172">
        <f t="shared" si="43"/>
        <v>0</v>
      </c>
      <c r="AR33" s="173"/>
      <c r="AS33" s="174">
        <f t="shared" si="44"/>
        <v>0</v>
      </c>
      <c r="AT33" s="174">
        <f t="shared" si="45"/>
        <v>0</v>
      </c>
      <c r="AU33" s="175">
        <f t="shared" si="46"/>
        <v>0</v>
      </c>
      <c r="AV33" s="176">
        <f t="shared" si="47"/>
        <v>0</v>
      </c>
      <c r="AW33" s="176" t="str">
        <f t="shared" si="48"/>
        <v>-</v>
      </c>
      <c r="AX33" s="177"/>
      <c r="AY33" s="178" t="str">
        <f t="shared" si="16"/>
        <v>км 0+000 - км 0+000</v>
      </c>
      <c r="AZ33" s="179" t="str">
        <f t="shared" si="17"/>
        <v>-</v>
      </c>
      <c r="BA33" s="180">
        <f t="shared" si="18"/>
        <v>0.5</v>
      </c>
      <c r="BB33" s="177"/>
      <c r="BC33" s="177"/>
      <c r="BD33" s="175" t="str">
        <f t="shared" si="19"/>
        <v>км 0+000 - км 0+000</v>
      </c>
      <c r="BE33" s="181">
        <f t="shared" si="20"/>
        <v>0.5</v>
      </c>
      <c r="BF33" s="182" t="e">
        <f t="shared" ca="1" si="49"/>
        <v>#N/A</v>
      </c>
    </row>
    <row r="34" spans="1:58" ht="16.5" x14ac:dyDescent="0.25">
      <c r="A34" s="110">
        <f t="shared" si="23"/>
        <v>0</v>
      </c>
      <c r="B34" s="110"/>
      <c r="C34" s="111">
        <f t="shared" si="22"/>
        <v>0</v>
      </c>
      <c r="D34" s="112"/>
      <c r="E34" s="113"/>
      <c r="F34" s="113"/>
      <c r="G34" s="113"/>
      <c r="H34" s="113"/>
      <c r="I34" s="113"/>
      <c r="J34" s="113"/>
      <c r="K34" s="113"/>
      <c r="L34" s="113"/>
      <c r="M34" s="114"/>
      <c r="N34" s="147" t="str">
        <f>IFERROR(VLOOKUP($F34,Лист1!$A$4:$F$72,2,FALSE),"")</f>
        <v/>
      </c>
      <c r="O34" s="147" t="str">
        <f>IFERROR(VLOOKUP($G34,Лист1!$A$4:$F$72,2,FALSE),"")</f>
        <v/>
      </c>
      <c r="P34" s="115" t="str">
        <f>IFERROR(VLOOKUP($H34,Лист1!$A$4:$F$72,2,FALSE),"")</f>
        <v/>
      </c>
      <c r="Q34" s="115" t="str">
        <f>IFERROR(VLOOKUP($I34,Лист1!$A$4:$F$72,2,FALSE),"")</f>
        <v/>
      </c>
      <c r="R34" s="115" t="str">
        <f>IFERROR(VLOOKUP($J34,Лист1!$A$4:$F$72,2,FALSE),"")</f>
        <v/>
      </c>
      <c r="S34" s="115" t="str">
        <f>IFERROR(VLOOKUP($K34,Лист1!$A$4:$F$72,2,FALSE),"")</f>
        <v/>
      </c>
      <c r="T34" s="115" t="str">
        <f>IFERROR(VLOOKUP($L34,Лист1!$A$4:$F$72,2,FALSE),"")</f>
        <v/>
      </c>
      <c r="U34" s="115" t="str">
        <f t="shared" si="0"/>
        <v/>
      </c>
      <c r="V34" s="148" t="str">
        <f>IFERROR(VLOOKUP($F34,Лист1!$A$4:$F$72,3,FALSE),"")</f>
        <v/>
      </c>
      <c r="W34" s="116" t="str">
        <f>IFERROR(VLOOKUP($G34,Лист1!$A$4:$F$72,3,FALSE),"")</f>
        <v/>
      </c>
      <c r="X34" s="116" t="str">
        <f>IFERROR(VLOOKUP($H34,Лист1!$A$4:$F$72,3,FALSE),"")</f>
        <v/>
      </c>
      <c r="Y34" s="116" t="str">
        <f>IFERROR(VLOOKUP($I34,Лист1!$A$4:$F$72,3,FALSE),"")</f>
        <v/>
      </c>
      <c r="Z34" s="116" t="str">
        <f>IFERROR(VLOOKUP($J34,Лист1!$A$4:$F$72,3,FALSE),"")</f>
        <v/>
      </c>
      <c r="AA34" s="116" t="str">
        <f>IFERROR(VLOOKUP($K34,Лист1!$A$4:$F$72,3,FALSE),"")</f>
        <v/>
      </c>
      <c r="AB34" s="116" t="str">
        <f>IFERROR(VLOOKUP($L34,Лист1!$A$4:$F$72,3,FALSE),"")</f>
        <v/>
      </c>
      <c r="AC34" s="116" t="str">
        <f>IFERROR(VLOOKUP($M34,Лист1!$A$4:$F$72,3,FALSE),"")</f>
        <v/>
      </c>
      <c r="AD34" s="152">
        <f t="shared" si="35"/>
        <v>0</v>
      </c>
      <c r="AE34" s="118">
        <f t="shared" si="36"/>
        <v>0</v>
      </c>
      <c r="AF34" s="119">
        <f t="shared" si="37"/>
        <v>0</v>
      </c>
      <c r="AG34" s="119">
        <f t="shared" si="38"/>
        <v>0</v>
      </c>
      <c r="AH34" s="119">
        <f t="shared" si="39"/>
        <v>0</v>
      </c>
      <c r="AI34" s="121">
        <f t="shared" si="40"/>
        <v>0</v>
      </c>
      <c r="AJ34" s="121" t="str">
        <f t="shared" si="7"/>
        <v>000</v>
      </c>
      <c r="AK34" s="121" t="str">
        <f t="shared" si="8"/>
        <v>000</v>
      </c>
      <c r="AL34" s="122"/>
      <c r="AM34" s="123" t="str">
        <f t="shared" si="41"/>
        <v>км 0+000 - км 0+000</v>
      </c>
      <c r="AN34" s="124" t="str">
        <f t="shared" si="10"/>
        <v/>
      </c>
      <c r="AO34" s="153" t="e">
        <f t="shared" si="11"/>
        <v>#VALUE!</v>
      </c>
      <c r="AP34" s="125">
        <f t="shared" si="42"/>
        <v>0</v>
      </c>
      <c r="AQ34" s="120">
        <f t="shared" si="43"/>
        <v>0</v>
      </c>
      <c r="AR34" s="126"/>
      <c r="AS34" s="127">
        <f t="shared" si="44"/>
        <v>0</v>
      </c>
      <c r="AT34" s="127">
        <f t="shared" si="45"/>
        <v>0</v>
      </c>
      <c r="AU34" s="128">
        <f t="shared" si="46"/>
        <v>0</v>
      </c>
      <c r="AV34" s="129">
        <f t="shared" si="47"/>
        <v>0</v>
      </c>
      <c r="AW34" s="129" t="str">
        <f t="shared" si="48"/>
        <v>-</v>
      </c>
      <c r="AX34" s="130"/>
      <c r="AY34" s="127" t="str">
        <f t="shared" si="16"/>
        <v>км 0+000 - км 0+000</v>
      </c>
      <c r="AZ34" s="129" t="str">
        <f t="shared" si="17"/>
        <v>-</v>
      </c>
      <c r="BA34" s="131">
        <f t="shared" si="18"/>
        <v>0.5</v>
      </c>
      <c r="BB34" s="130"/>
      <c r="BC34" s="130"/>
      <c r="BD34" s="128" t="str">
        <f t="shared" si="19"/>
        <v>км 0+000 - км 0+000</v>
      </c>
      <c r="BE34" s="131">
        <f t="shared" si="20"/>
        <v>0.5</v>
      </c>
      <c r="BF34" s="154" t="e">
        <f t="shared" ca="1" si="49"/>
        <v>#N/A</v>
      </c>
    </row>
    <row r="35" spans="1:58" ht="16.5" x14ac:dyDescent="0.25">
      <c r="A35" s="110">
        <f t="shared" si="23"/>
        <v>0</v>
      </c>
      <c r="B35" s="110"/>
      <c r="C35" s="111">
        <f t="shared" si="22"/>
        <v>0</v>
      </c>
      <c r="D35" s="155"/>
      <c r="E35" s="156"/>
      <c r="F35" s="156"/>
      <c r="G35" s="157"/>
      <c r="H35" s="157"/>
      <c r="I35" s="157"/>
      <c r="J35" s="157"/>
      <c r="K35" s="157"/>
      <c r="L35" s="157"/>
      <c r="M35" s="158"/>
      <c r="N35" s="159" t="str">
        <f>IFERROR(VLOOKUP($F35,Лист1!$A$4:$F$72,2,FALSE),"")</f>
        <v/>
      </c>
      <c r="O35" s="159" t="str">
        <f>IFERROR(VLOOKUP($G35,Лист1!$A$4:$F$72,2,FALSE),"")</f>
        <v/>
      </c>
      <c r="P35" s="160" t="str">
        <f>IFERROR(VLOOKUP($H35,Лист1!$A$4:$F$72,2,FALSE),"")</f>
        <v/>
      </c>
      <c r="Q35" s="160" t="str">
        <f>IFERROR(VLOOKUP($I35,Лист1!$A$4:$F$72,2,FALSE),"")</f>
        <v/>
      </c>
      <c r="R35" s="160" t="str">
        <f>IFERROR(VLOOKUP($J35,Лист1!$A$4:$F$72,2,FALSE),"")</f>
        <v/>
      </c>
      <c r="S35" s="160" t="str">
        <f>IFERROR(VLOOKUP($K35,Лист1!$A$4:$F$72,2,FALSE),"")</f>
        <v/>
      </c>
      <c r="T35" s="160" t="str">
        <f>IFERROR(VLOOKUP($L35,Лист1!$A$4:$F$72,2,FALSE),"")</f>
        <v/>
      </c>
      <c r="U35" s="160" t="str">
        <f t="shared" si="0"/>
        <v/>
      </c>
      <c r="V35" s="161" t="str">
        <f>IFERROR(VLOOKUP($F35,Лист1!$A$4:$F$72,3,FALSE),"")</f>
        <v/>
      </c>
      <c r="W35" s="162" t="str">
        <f>IFERROR(VLOOKUP($G35,Лист1!$A$4:$F$72,3,FALSE),"")</f>
        <v/>
      </c>
      <c r="X35" s="162" t="str">
        <f>IFERROR(VLOOKUP($H35,Лист1!$A$4:$F$72,3,FALSE),"")</f>
        <v/>
      </c>
      <c r="Y35" s="162" t="str">
        <f>IFERROR(VLOOKUP($I35,Лист1!$A$4:$F$72,3,FALSE),"")</f>
        <v/>
      </c>
      <c r="Z35" s="162" t="str">
        <f>IFERROR(VLOOKUP($J35,Лист1!$A$4:$F$72,3,FALSE),"")</f>
        <v/>
      </c>
      <c r="AA35" s="162" t="str">
        <f>IFERROR(VLOOKUP($K35,Лист1!$A$4:$F$72,3,FALSE),"")</f>
        <v/>
      </c>
      <c r="AB35" s="162" t="str">
        <f>IFERROR(VLOOKUP($L35,Лист1!$A$4:$F$72,3,FALSE),"")</f>
        <v/>
      </c>
      <c r="AC35" s="162" t="str">
        <f>IFERROR(VLOOKUP($M35,Лист1!$A$4:$F$72,3,FALSE),"")</f>
        <v/>
      </c>
      <c r="AD35" s="163">
        <f t="shared" si="35"/>
        <v>0</v>
      </c>
      <c r="AE35" s="164">
        <f t="shared" si="36"/>
        <v>0</v>
      </c>
      <c r="AF35" s="165">
        <f t="shared" si="37"/>
        <v>0</v>
      </c>
      <c r="AG35" s="165">
        <f t="shared" si="38"/>
        <v>0</v>
      </c>
      <c r="AH35" s="165">
        <f t="shared" si="39"/>
        <v>0</v>
      </c>
      <c r="AI35" s="166">
        <f t="shared" si="40"/>
        <v>0</v>
      </c>
      <c r="AJ35" s="166" t="str">
        <f t="shared" si="7"/>
        <v>000</v>
      </c>
      <c r="AK35" s="166" t="str">
        <f t="shared" si="8"/>
        <v>000</v>
      </c>
      <c r="AL35" s="167"/>
      <c r="AM35" s="168" t="str">
        <f t="shared" si="41"/>
        <v>км 0+000 - км 0+000</v>
      </c>
      <c r="AN35" s="169" t="str">
        <f t="shared" si="10"/>
        <v/>
      </c>
      <c r="AO35" s="170" t="e">
        <f t="shared" si="11"/>
        <v>#VALUE!</v>
      </c>
      <c r="AP35" s="171">
        <f t="shared" si="42"/>
        <v>0</v>
      </c>
      <c r="AQ35" s="172">
        <f t="shared" si="43"/>
        <v>0</v>
      </c>
      <c r="AR35" s="173"/>
      <c r="AS35" s="174">
        <f t="shared" si="44"/>
        <v>0</v>
      </c>
      <c r="AT35" s="174">
        <f t="shared" si="45"/>
        <v>0</v>
      </c>
      <c r="AU35" s="175">
        <f t="shared" si="46"/>
        <v>0</v>
      </c>
      <c r="AV35" s="176">
        <f t="shared" si="47"/>
        <v>0</v>
      </c>
      <c r="AW35" s="176" t="str">
        <f t="shared" si="48"/>
        <v>-</v>
      </c>
      <c r="AX35" s="177"/>
      <c r="AY35" s="178" t="str">
        <f t="shared" si="16"/>
        <v>км 0+000 - км 0+000</v>
      </c>
      <c r="AZ35" s="179" t="str">
        <f t="shared" si="17"/>
        <v>-</v>
      </c>
      <c r="BA35" s="180">
        <f t="shared" si="18"/>
        <v>0.5</v>
      </c>
      <c r="BB35" s="177"/>
      <c r="BC35" s="177"/>
      <c r="BD35" s="175" t="str">
        <f t="shared" si="19"/>
        <v>км 0+000 - км 0+000</v>
      </c>
      <c r="BE35" s="181">
        <f t="shared" si="20"/>
        <v>0.5</v>
      </c>
      <c r="BF35" s="182" t="e">
        <f t="shared" ca="1" si="49"/>
        <v>#N/A</v>
      </c>
    </row>
    <row r="36" spans="1:58" ht="16.5" x14ac:dyDescent="0.25">
      <c r="A36" s="110">
        <f t="shared" si="23"/>
        <v>0</v>
      </c>
      <c r="B36" s="110"/>
      <c r="C36" s="111">
        <f t="shared" si="22"/>
        <v>0</v>
      </c>
      <c r="D36" s="112"/>
      <c r="E36" s="113"/>
      <c r="F36" s="113"/>
      <c r="G36" s="113"/>
      <c r="H36" s="113"/>
      <c r="I36" s="113"/>
      <c r="J36" s="113"/>
      <c r="K36" s="113"/>
      <c r="L36" s="113"/>
      <c r="M36" s="114"/>
      <c r="N36" s="147" t="str">
        <f>IFERROR(VLOOKUP($F36,Лист1!$A$4:$F$72,2,FALSE),"")</f>
        <v/>
      </c>
      <c r="O36" s="147" t="str">
        <f>IFERROR(VLOOKUP($G36,Лист1!$A$4:$F$72,2,FALSE),"")</f>
        <v/>
      </c>
      <c r="P36" s="115" t="str">
        <f>IFERROR(VLOOKUP($H36,Лист1!$A$4:$F$72,2,FALSE),"")</f>
        <v/>
      </c>
      <c r="Q36" s="115" t="str">
        <f>IFERROR(VLOOKUP($I36,Лист1!$A$4:$F$72,2,FALSE),"")</f>
        <v/>
      </c>
      <c r="R36" s="115" t="str">
        <f>IFERROR(VLOOKUP($J36,Лист1!$A$4:$F$72,2,FALSE),"")</f>
        <v/>
      </c>
      <c r="S36" s="115" t="str">
        <f>IFERROR(VLOOKUP($K36,Лист1!$A$4:$F$72,2,FALSE),"")</f>
        <v/>
      </c>
      <c r="T36" s="115" t="str">
        <f>IFERROR(VLOOKUP($L36,Лист1!$A$4:$F$72,2,FALSE),"")</f>
        <v/>
      </c>
      <c r="U36" s="115" t="str">
        <f t="shared" si="0"/>
        <v/>
      </c>
      <c r="V36" s="148" t="str">
        <f>IFERROR(VLOOKUP($F36,Лист1!$A$4:$F$72,3,FALSE),"")</f>
        <v/>
      </c>
      <c r="W36" s="116" t="str">
        <f>IFERROR(VLOOKUP($G36,Лист1!$A$4:$F$72,3,FALSE),"")</f>
        <v/>
      </c>
      <c r="X36" s="116" t="str">
        <f>IFERROR(VLOOKUP($H36,Лист1!$A$4:$F$72,3,FALSE),"")</f>
        <v/>
      </c>
      <c r="Y36" s="116" t="str">
        <f>IFERROR(VLOOKUP($I36,Лист1!$A$4:$F$72,3,FALSE),"")</f>
        <v/>
      </c>
      <c r="Z36" s="116" t="str">
        <f>IFERROR(VLOOKUP($J36,Лист1!$A$4:$F$72,3,FALSE),"")</f>
        <v/>
      </c>
      <c r="AA36" s="116" t="str">
        <f>IFERROR(VLOOKUP($K36,Лист1!$A$4:$F$72,3,FALSE),"")</f>
        <v/>
      </c>
      <c r="AB36" s="116" t="str">
        <f>IFERROR(VLOOKUP($L36,Лист1!$A$4:$F$72,3,FALSE),"")</f>
        <v/>
      </c>
      <c r="AC36" s="116" t="str">
        <f>IFERROR(VLOOKUP($M36,Лист1!$A$4:$F$72,3,FALSE),"")</f>
        <v/>
      </c>
      <c r="AD36" s="152">
        <f t="shared" si="35"/>
        <v>0</v>
      </c>
      <c r="AE36" s="118">
        <f t="shared" si="36"/>
        <v>0</v>
      </c>
      <c r="AF36" s="119">
        <f t="shared" si="37"/>
        <v>0</v>
      </c>
      <c r="AG36" s="119">
        <f t="shared" si="38"/>
        <v>0</v>
      </c>
      <c r="AH36" s="119">
        <f t="shared" si="39"/>
        <v>0</v>
      </c>
      <c r="AI36" s="121">
        <f t="shared" si="40"/>
        <v>0</v>
      </c>
      <c r="AJ36" s="121" t="str">
        <f t="shared" si="7"/>
        <v>000</v>
      </c>
      <c r="AK36" s="121" t="str">
        <f t="shared" si="8"/>
        <v>000</v>
      </c>
      <c r="AL36" s="122"/>
      <c r="AM36" s="123" t="str">
        <f t="shared" si="41"/>
        <v>км 0+000 - км 0+000</v>
      </c>
      <c r="AN36" s="124" t="str">
        <f t="shared" si="10"/>
        <v/>
      </c>
      <c r="AO36" s="153" t="e">
        <f t="shared" si="11"/>
        <v>#VALUE!</v>
      </c>
      <c r="AP36" s="125">
        <f t="shared" si="42"/>
        <v>0</v>
      </c>
      <c r="AQ36" s="120">
        <f t="shared" si="43"/>
        <v>0</v>
      </c>
      <c r="AR36" s="126"/>
      <c r="AS36" s="127">
        <f t="shared" si="44"/>
        <v>0</v>
      </c>
      <c r="AT36" s="127">
        <f t="shared" si="45"/>
        <v>0</v>
      </c>
      <c r="AU36" s="128">
        <f t="shared" si="46"/>
        <v>0</v>
      </c>
      <c r="AV36" s="129">
        <f t="shared" si="47"/>
        <v>0</v>
      </c>
      <c r="AW36" s="129" t="str">
        <f t="shared" si="48"/>
        <v>-</v>
      </c>
      <c r="AX36" s="130"/>
      <c r="AY36" s="127" t="str">
        <f t="shared" si="16"/>
        <v>км 0+000 - км 0+000</v>
      </c>
      <c r="AZ36" s="129" t="str">
        <f t="shared" si="17"/>
        <v>-</v>
      </c>
      <c r="BA36" s="131">
        <f t="shared" si="18"/>
        <v>0.5</v>
      </c>
      <c r="BB36" s="130"/>
      <c r="BC36" s="130"/>
      <c r="BD36" s="128" t="str">
        <f t="shared" si="19"/>
        <v>км 0+000 - км 0+000</v>
      </c>
      <c r="BE36" s="131">
        <f t="shared" si="20"/>
        <v>0.5</v>
      </c>
      <c r="BF36" s="154" t="e">
        <f t="shared" ca="1" si="49"/>
        <v>#N/A</v>
      </c>
    </row>
    <row r="37" spans="1:58" ht="16.5" x14ac:dyDescent="0.25">
      <c r="A37" s="110">
        <f t="shared" si="23"/>
        <v>0</v>
      </c>
      <c r="B37" s="110"/>
      <c r="C37" s="111">
        <f t="shared" si="22"/>
        <v>0</v>
      </c>
      <c r="D37" s="155"/>
      <c r="E37" s="156"/>
      <c r="F37" s="156"/>
      <c r="G37" s="157"/>
      <c r="H37" s="157"/>
      <c r="I37" s="157"/>
      <c r="J37" s="157"/>
      <c r="K37" s="157"/>
      <c r="L37" s="157"/>
      <c r="M37" s="158"/>
      <c r="N37" s="159" t="str">
        <f>IFERROR(VLOOKUP($F37,Лист1!$A$4:$F$72,2,FALSE),"")</f>
        <v/>
      </c>
      <c r="O37" s="159" t="str">
        <f>IFERROR(VLOOKUP($G37,Лист1!$A$4:$F$72,2,FALSE),"")</f>
        <v/>
      </c>
      <c r="P37" s="160" t="str">
        <f>IFERROR(VLOOKUP($H37,Лист1!$A$4:$F$72,2,FALSE),"")</f>
        <v/>
      </c>
      <c r="Q37" s="160" t="str">
        <f>IFERROR(VLOOKUP($I37,Лист1!$A$4:$F$72,2,FALSE),"")</f>
        <v/>
      </c>
      <c r="R37" s="160" t="str">
        <f>IFERROR(VLOOKUP($J37,Лист1!$A$4:$F$72,2,FALSE),"")</f>
        <v/>
      </c>
      <c r="S37" s="160" t="str">
        <f>IFERROR(VLOOKUP($K37,Лист1!$A$4:$F$72,2,FALSE),"")</f>
        <v/>
      </c>
      <c r="T37" s="160" t="str">
        <f>IFERROR(VLOOKUP($L37,Лист1!$A$4:$F$72,2,FALSE),"")</f>
        <v/>
      </c>
      <c r="U37" s="160" t="str">
        <f t="shared" si="0"/>
        <v/>
      </c>
      <c r="V37" s="161" t="str">
        <f>IFERROR(VLOOKUP($F37,Лист1!$A$4:$F$72,3,FALSE),"")</f>
        <v/>
      </c>
      <c r="W37" s="162" t="str">
        <f>IFERROR(VLOOKUP($G37,Лист1!$A$4:$F$72,3,FALSE),"")</f>
        <v/>
      </c>
      <c r="X37" s="162" t="str">
        <f>IFERROR(VLOOKUP($H37,Лист1!$A$4:$F$72,3,FALSE),"")</f>
        <v/>
      </c>
      <c r="Y37" s="162" t="str">
        <f>IFERROR(VLOOKUP($I37,Лист1!$A$4:$F$72,3,FALSE),"")</f>
        <v/>
      </c>
      <c r="Z37" s="162" t="str">
        <f>IFERROR(VLOOKUP($J37,Лист1!$A$4:$F$72,3,FALSE),"")</f>
        <v/>
      </c>
      <c r="AA37" s="162" t="str">
        <f>IFERROR(VLOOKUP($K37,Лист1!$A$4:$F$72,3,FALSE),"")</f>
        <v/>
      </c>
      <c r="AB37" s="162" t="str">
        <f>IFERROR(VLOOKUP($L37,Лист1!$A$4:$F$72,3,FALSE),"")</f>
        <v/>
      </c>
      <c r="AC37" s="162" t="str">
        <f>IFERROR(VLOOKUP($M37,Лист1!$A$4:$F$72,3,FALSE),"")</f>
        <v/>
      </c>
      <c r="AD37" s="163">
        <f t="shared" si="35"/>
        <v>0</v>
      </c>
      <c r="AE37" s="164">
        <f t="shared" si="36"/>
        <v>0</v>
      </c>
      <c r="AF37" s="165">
        <f t="shared" si="37"/>
        <v>0</v>
      </c>
      <c r="AG37" s="165">
        <f t="shared" si="38"/>
        <v>0</v>
      </c>
      <c r="AH37" s="165">
        <f t="shared" si="39"/>
        <v>0</v>
      </c>
      <c r="AI37" s="166">
        <f t="shared" si="40"/>
        <v>0</v>
      </c>
      <c r="AJ37" s="166" t="str">
        <f t="shared" si="7"/>
        <v>000</v>
      </c>
      <c r="AK37" s="166" t="str">
        <f t="shared" si="8"/>
        <v>000</v>
      </c>
      <c r="AL37" s="167"/>
      <c r="AM37" s="168" t="str">
        <f t="shared" si="41"/>
        <v>км 0+000 - км 0+000</v>
      </c>
      <c r="AN37" s="169" t="str">
        <f t="shared" si="10"/>
        <v/>
      </c>
      <c r="AO37" s="170" t="e">
        <f t="shared" si="11"/>
        <v>#VALUE!</v>
      </c>
      <c r="AP37" s="171">
        <f t="shared" si="42"/>
        <v>0</v>
      </c>
      <c r="AQ37" s="172">
        <f t="shared" si="43"/>
        <v>0</v>
      </c>
      <c r="AR37" s="173"/>
      <c r="AS37" s="174">
        <f t="shared" si="44"/>
        <v>0</v>
      </c>
      <c r="AT37" s="174">
        <f t="shared" si="45"/>
        <v>0</v>
      </c>
      <c r="AU37" s="175">
        <f t="shared" si="46"/>
        <v>0</v>
      </c>
      <c r="AV37" s="176">
        <f t="shared" si="47"/>
        <v>0</v>
      </c>
      <c r="AW37" s="176" t="str">
        <f t="shared" si="48"/>
        <v>-</v>
      </c>
      <c r="AX37" s="177"/>
      <c r="AY37" s="178" t="str">
        <f t="shared" si="16"/>
        <v>км 0+000 - км 0+000</v>
      </c>
      <c r="AZ37" s="179" t="str">
        <f t="shared" si="17"/>
        <v>-</v>
      </c>
      <c r="BA37" s="180">
        <f t="shared" si="18"/>
        <v>0.5</v>
      </c>
      <c r="BB37" s="177"/>
      <c r="BC37" s="177"/>
      <c r="BD37" s="175" t="str">
        <f t="shared" si="19"/>
        <v>км 0+000 - км 0+000</v>
      </c>
      <c r="BE37" s="181">
        <f t="shared" si="20"/>
        <v>0.5</v>
      </c>
      <c r="BF37" s="182" t="e">
        <f t="shared" ca="1" si="49"/>
        <v>#N/A</v>
      </c>
    </row>
    <row r="38" spans="1:58" ht="16.5" x14ac:dyDescent="0.25">
      <c r="A38" s="110">
        <f t="shared" si="23"/>
        <v>0</v>
      </c>
      <c r="B38" s="110"/>
      <c r="C38" s="111">
        <f t="shared" si="22"/>
        <v>0</v>
      </c>
      <c r="D38" s="112"/>
      <c r="E38" s="113"/>
      <c r="F38" s="113"/>
      <c r="G38" s="113"/>
      <c r="H38" s="113"/>
      <c r="I38" s="113"/>
      <c r="J38" s="113"/>
      <c r="K38" s="113"/>
      <c r="L38" s="113"/>
      <c r="M38" s="114"/>
      <c r="N38" s="147" t="str">
        <f>IFERROR(VLOOKUP($F38,Лист1!$A$4:$F$72,2,FALSE),"")</f>
        <v/>
      </c>
      <c r="O38" s="147" t="str">
        <f>IFERROR(VLOOKUP($G38,Лист1!$A$4:$F$72,2,FALSE),"")</f>
        <v/>
      </c>
      <c r="P38" s="115" t="str">
        <f>IFERROR(VLOOKUP($H38,Лист1!$A$4:$F$72,2,FALSE),"")</f>
        <v/>
      </c>
      <c r="Q38" s="115" t="str">
        <f>IFERROR(VLOOKUP($I38,Лист1!$A$4:$F$72,2,FALSE),"")</f>
        <v/>
      </c>
      <c r="R38" s="115" t="str">
        <f>IFERROR(VLOOKUP($J38,Лист1!$A$4:$F$72,2,FALSE),"")</f>
        <v/>
      </c>
      <c r="S38" s="115" t="str">
        <f>IFERROR(VLOOKUP($K38,Лист1!$A$4:$F$72,2,FALSE),"")</f>
        <v/>
      </c>
      <c r="T38" s="115" t="str">
        <f>IFERROR(VLOOKUP($L38,Лист1!$A$4:$F$72,2,FALSE),"")</f>
        <v/>
      </c>
      <c r="U38" s="115" t="str">
        <f t="shared" si="0"/>
        <v/>
      </c>
      <c r="V38" s="148" t="str">
        <f>IFERROR(VLOOKUP($F38,Лист1!$A$4:$F$72,3,FALSE),"")</f>
        <v/>
      </c>
      <c r="W38" s="116" t="str">
        <f>IFERROR(VLOOKUP($G38,Лист1!$A$4:$F$72,3,FALSE),"")</f>
        <v/>
      </c>
      <c r="X38" s="116" t="str">
        <f>IFERROR(VLOOKUP($H38,Лист1!$A$4:$F$72,3,FALSE),"")</f>
        <v/>
      </c>
      <c r="Y38" s="116" t="str">
        <f>IFERROR(VLOOKUP($I38,Лист1!$A$4:$F$72,3,FALSE),"")</f>
        <v/>
      </c>
      <c r="Z38" s="116" t="str">
        <f>IFERROR(VLOOKUP($J38,Лист1!$A$4:$F$72,3,FALSE),"")</f>
        <v/>
      </c>
      <c r="AA38" s="116" t="str">
        <f>IFERROR(VLOOKUP($K38,Лист1!$A$4:$F$72,3,FALSE),"")</f>
        <v/>
      </c>
      <c r="AB38" s="116" t="str">
        <f>IFERROR(VLOOKUP($L38,Лист1!$A$4:$F$72,3,FALSE),"")</f>
        <v/>
      </c>
      <c r="AC38" s="116" t="str">
        <f>IFERROR(VLOOKUP($M38,Лист1!$A$4:$F$72,3,FALSE),"")</f>
        <v/>
      </c>
      <c r="AD38" s="152">
        <f t="shared" si="35"/>
        <v>0</v>
      </c>
      <c r="AE38" s="118">
        <f t="shared" si="36"/>
        <v>0</v>
      </c>
      <c r="AF38" s="119">
        <f t="shared" si="37"/>
        <v>0</v>
      </c>
      <c r="AG38" s="119">
        <f t="shared" si="38"/>
        <v>0</v>
      </c>
      <c r="AH38" s="119">
        <f t="shared" si="39"/>
        <v>0</v>
      </c>
      <c r="AI38" s="121">
        <f t="shared" si="40"/>
        <v>0</v>
      </c>
      <c r="AJ38" s="121" t="str">
        <f t="shared" si="7"/>
        <v>000</v>
      </c>
      <c r="AK38" s="121" t="str">
        <f t="shared" si="8"/>
        <v>000</v>
      </c>
      <c r="AL38" s="122"/>
      <c r="AM38" s="123" t="str">
        <f t="shared" si="41"/>
        <v>км 0+000 - км 0+000</v>
      </c>
      <c r="AN38" s="124" t="str">
        <f t="shared" si="10"/>
        <v/>
      </c>
      <c r="AO38" s="153" t="e">
        <f t="shared" si="11"/>
        <v>#VALUE!</v>
      </c>
      <c r="AP38" s="125">
        <f t="shared" si="42"/>
        <v>0</v>
      </c>
      <c r="AQ38" s="120">
        <f t="shared" si="43"/>
        <v>0</v>
      </c>
      <c r="AR38" s="126"/>
      <c r="AS38" s="127">
        <f t="shared" si="44"/>
        <v>0</v>
      </c>
      <c r="AT38" s="127">
        <f t="shared" si="45"/>
        <v>0</v>
      </c>
      <c r="AU38" s="128">
        <f t="shared" si="46"/>
        <v>0</v>
      </c>
      <c r="AV38" s="129">
        <f t="shared" si="47"/>
        <v>0</v>
      </c>
      <c r="AW38" s="129" t="str">
        <f t="shared" si="48"/>
        <v>-</v>
      </c>
      <c r="AX38" s="130"/>
      <c r="AY38" s="127" t="str">
        <f t="shared" si="16"/>
        <v>км 0+000 - км 0+000</v>
      </c>
      <c r="AZ38" s="129" t="str">
        <f t="shared" si="17"/>
        <v>-</v>
      </c>
      <c r="BA38" s="131">
        <f t="shared" si="18"/>
        <v>0.5</v>
      </c>
      <c r="BB38" s="130"/>
      <c r="BC38" s="130"/>
      <c r="BD38" s="128" t="str">
        <f t="shared" si="19"/>
        <v>км 0+000 - км 0+000</v>
      </c>
      <c r="BE38" s="131">
        <f t="shared" si="20"/>
        <v>0.5</v>
      </c>
      <c r="BF38" s="154" t="e">
        <f t="shared" ca="1" si="49"/>
        <v>#N/A</v>
      </c>
    </row>
    <row r="39" spans="1:58" ht="16.5" x14ac:dyDescent="0.25">
      <c r="A39" s="110">
        <f t="shared" si="23"/>
        <v>0</v>
      </c>
      <c r="B39" s="110"/>
      <c r="C39" s="111">
        <f t="shared" si="22"/>
        <v>0</v>
      </c>
      <c r="D39" s="155"/>
      <c r="E39" s="156"/>
      <c r="F39" s="156"/>
      <c r="G39" s="157"/>
      <c r="H39" s="157"/>
      <c r="I39" s="157"/>
      <c r="J39" s="157"/>
      <c r="K39" s="157"/>
      <c r="L39" s="157"/>
      <c r="M39" s="158"/>
      <c r="N39" s="159" t="str">
        <f>IFERROR(VLOOKUP($F39,Лист1!$A$4:$F$72,2,FALSE),"")</f>
        <v/>
      </c>
      <c r="O39" s="159" t="str">
        <f>IFERROR(VLOOKUP($G39,Лист1!$A$4:$F$72,2,FALSE),"")</f>
        <v/>
      </c>
      <c r="P39" s="160" t="str">
        <f>IFERROR(VLOOKUP($H39,Лист1!$A$4:$F$72,2,FALSE),"")</f>
        <v/>
      </c>
      <c r="Q39" s="160" t="str">
        <f>IFERROR(VLOOKUP($I39,Лист1!$A$4:$F$72,2,FALSE),"")</f>
        <v/>
      </c>
      <c r="R39" s="160" t="str">
        <f>IFERROR(VLOOKUP($J39,Лист1!$A$4:$F$72,2,FALSE),"")</f>
        <v/>
      </c>
      <c r="S39" s="160" t="str">
        <f>IFERROR(VLOOKUP($K39,Лист1!$A$4:$F$72,2,FALSE),"")</f>
        <v/>
      </c>
      <c r="T39" s="160" t="str">
        <f>IFERROR(VLOOKUP($L39,Лист1!$A$4:$F$72,2,FALSE),"")</f>
        <v/>
      </c>
      <c r="U39" s="160" t="str">
        <f t="shared" si="0"/>
        <v/>
      </c>
      <c r="V39" s="161" t="str">
        <f>IFERROR(VLOOKUP($F39,Лист1!$A$4:$F$72,3,FALSE),"")</f>
        <v/>
      </c>
      <c r="W39" s="162" t="str">
        <f>IFERROR(VLOOKUP($G39,Лист1!$A$4:$F$72,3,FALSE),"")</f>
        <v/>
      </c>
      <c r="X39" s="162" t="str">
        <f>IFERROR(VLOOKUP($H39,Лист1!$A$4:$F$72,3,FALSE),"")</f>
        <v/>
      </c>
      <c r="Y39" s="162" t="str">
        <f>IFERROR(VLOOKUP($I39,Лист1!$A$4:$F$72,3,FALSE),"")</f>
        <v/>
      </c>
      <c r="Z39" s="162" t="str">
        <f>IFERROR(VLOOKUP($J39,Лист1!$A$4:$F$72,3,FALSE),"")</f>
        <v/>
      </c>
      <c r="AA39" s="162" t="str">
        <f>IFERROR(VLOOKUP($K39,Лист1!$A$4:$F$72,3,FALSE),"")</f>
        <v/>
      </c>
      <c r="AB39" s="162" t="str">
        <f>IFERROR(VLOOKUP($L39,Лист1!$A$4:$F$72,3,FALSE),"")</f>
        <v/>
      </c>
      <c r="AC39" s="162" t="str">
        <f>IFERROR(VLOOKUP($M39,Лист1!$A$4:$F$72,3,FALSE),"")</f>
        <v/>
      </c>
      <c r="AD39" s="163">
        <f t="shared" si="35"/>
        <v>0</v>
      </c>
      <c r="AE39" s="164">
        <f t="shared" si="36"/>
        <v>0</v>
      </c>
      <c r="AF39" s="165">
        <f t="shared" si="37"/>
        <v>0</v>
      </c>
      <c r="AG39" s="165">
        <f t="shared" si="38"/>
        <v>0</v>
      </c>
      <c r="AH39" s="165">
        <f t="shared" si="39"/>
        <v>0</v>
      </c>
      <c r="AI39" s="166">
        <f t="shared" si="40"/>
        <v>0</v>
      </c>
      <c r="AJ39" s="166" t="str">
        <f t="shared" si="7"/>
        <v>000</v>
      </c>
      <c r="AK39" s="166" t="str">
        <f t="shared" si="8"/>
        <v>000</v>
      </c>
      <c r="AL39" s="167"/>
      <c r="AM39" s="168" t="str">
        <f t="shared" si="41"/>
        <v>км 0+000 - км 0+000</v>
      </c>
      <c r="AN39" s="169" t="str">
        <f t="shared" si="10"/>
        <v/>
      </c>
      <c r="AO39" s="170" t="e">
        <f t="shared" si="11"/>
        <v>#VALUE!</v>
      </c>
      <c r="AP39" s="171">
        <f t="shared" si="42"/>
        <v>0</v>
      </c>
      <c r="AQ39" s="172">
        <f t="shared" si="43"/>
        <v>0</v>
      </c>
      <c r="AR39" s="173"/>
      <c r="AS39" s="174">
        <f t="shared" si="44"/>
        <v>0</v>
      </c>
      <c r="AT39" s="174">
        <f t="shared" si="45"/>
        <v>0</v>
      </c>
      <c r="AU39" s="175">
        <f t="shared" si="46"/>
        <v>0</v>
      </c>
      <c r="AV39" s="176">
        <f t="shared" si="47"/>
        <v>0</v>
      </c>
      <c r="AW39" s="176" t="str">
        <f t="shared" si="48"/>
        <v>-</v>
      </c>
      <c r="AX39" s="177"/>
      <c r="AY39" s="178" t="str">
        <f t="shared" si="16"/>
        <v>км 0+000 - км 0+000</v>
      </c>
      <c r="AZ39" s="179" t="str">
        <f t="shared" si="17"/>
        <v>-</v>
      </c>
      <c r="BA39" s="180">
        <f t="shared" si="18"/>
        <v>0.5</v>
      </c>
      <c r="BB39" s="177"/>
      <c r="BC39" s="177"/>
      <c r="BD39" s="175" t="str">
        <f t="shared" si="19"/>
        <v>км 0+000 - км 0+000</v>
      </c>
      <c r="BE39" s="181">
        <f t="shared" si="20"/>
        <v>0.5</v>
      </c>
      <c r="BF39" s="182" t="e">
        <f t="shared" ca="1" si="49"/>
        <v>#N/A</v>
      </c>
    </row>
    <row r="40" spans="1:58" ht="16.5" x14ac:dyDescent="0.25">
      <c r="A40" s="110">
        <f t="shared" si="23"/>
        <v>0</v>
      </c>
      <c r="B40" s="110"/>
      <c r="C40" s="111">
        <f t="shared" si="22"/>
        <v>0</v>
      </c>
      <c r="D40" s="112"/>
      <c r="E40" s="113"/>
      <c r="F40" s="113"/>
      <c r="G40" s="113"/>
      <c r="H40" s="113"/>
      <c r="I40" s="113"/>
      <c r="J40" s="113"/>
      <c r="K40" s="113"/>
      <c r="L40" s="113"/>
      <c r="M40" s="114"/>
      <c r="N40" s="147" t="str">
        <f>IFERROR(VLOOKUP($F40,Лист1!$A$4:$F$72,2,FALSE),"")</f>
        <v/>
      </c>
      <c r="O40" s="147" t="str">
        <f>IFERROR(VLOOKUP($G40,Лист1!$A$4:$F$72,2,FALSE),"")</f>
        <v/>
      </c>
      <c r="P40" s="115" t="str">
        <f>IFERROR(VLOOKUP($H40,Лист1!$A$4:$F$72,2,FALSE),"")</f>
        <v/>
      </c>
      <c r="Q40" s="115" t="str">
        <f>IFERROR(VLOOKUP($I40,Лист1!$A$4:$F$72,2,FALSE),"")</f>
        <v/>
      </c>
      <c r="R40" s="115" t="str">
        <f>IFERROR(VLOOKUP($J40,Лист1!$A$4:$F$72,2,FALSE),"")</f>
        <v/>
      </c>
      <c r="S40" s="115" t="str">
        <f>IFERROR(VLOOKUP($K40,Лист1!$A$4:$F$72,2,FALSE),"")</f>
        <v/>
      </c>
      <c r="T40" s="115" t="str">
        <f>IFERROR(VLOOKUP($L40,Лист1!$A$4:$F$72,2,FALSE),"")</f>
        <v/>
      </c>
      <c r="U40" s="115" t="str">
        <f t="shared" si="0"/>
        <v/>
      </c>
      <c r="V40" s="148" t="str">
        <f>IFERROR(VLOOKUP($F40,Лист1!$A$4:$F$72,3,FALSE),"")</f>
        <v/>
      </c>
      <c r="W40" s="116" t="str">
        <f>IFERROR(VLOOKUP($G40,Лист1!$A$4:$F$72,3,FALSE),"")</f>
        <v/>
      </c>
      <c r="X40" s="116" t="str">
        <f>IFERROR(VLOOKUP($H40,Лист1!$A$4:$F$72,3,FALSE),"")</f>
        <v/>
      </c>
      <c r="Y40" s="116" t="str">
        <f>IFERROR(VLOOKUP($I40,Лист1!$A$4:$F$72,3,FALSE),"")</f>
        <v/>
      </c>
      <c r="Z40" s="116" t="str">
        <f>IFERROR(VLOOKUP($J40,Лист1!$A$4:$F$72,3,FALSE),"")</f>
        <v/>
      </c>
      <c r="AA40" s="116" t="str">
        <f>IFERROR(VLOOKUP($K40,Лист1!$A$4:$F$72,3,FALSE),"")</f>
        <v/>
      </c>
      <c r="AB40" s="116" t="str">
        <f>IFERROR(VLOOKUP($L40,Лист1!$A$4:$F$72,3,FALSE),"")</f>
        <v/>
      </c>
      <c r="AC40" s="116" t="str">
        <f>IFERROR(VLOOKUP($M40,Лист1!$A$4:$F$72,3,FALSE),"")</f>
        <v/>
      </c>
      <c r="AD40" s="152">
        <f t="shared" si="35"/>
        <v>0</v>
      </c>
      <c r="AE40" s="118">
        <f t="shared" si="36"/>
        <v>0</v>
      </c>
      <c r="AF40" s="119">
        <f t="shared" si="37"/>
        <v>0</v>
      </c>
      <c r="AG40" s="119">
        <f t="shared" si="38"/>
        <v>0</v>
      </c>
      <c r="AH40" s="119">
        <f t="shared" si="39"/>
        <v>0</v>
      </c>
      <c r="AI40" s="121">
        <f t="shared" si="40"/>
        <v>0</v>
      </c>
      <c r="AJ40" s="121" t="str">
        <f t="shared" si="7"/>
        <v>000</v>
      </c>
      <c r="AK40" s="121" t="str">
        <f t="shared" si="8"/>
        <v>000</v>
      </c>
      <c r="AL40" s="122"/>
      <c r="AM40" s="123" t="str">
        <f t="shared" si="41"/>
        <v>км 0+000 - км 0+000</v>
      </c>
      <c r="AN40" s="124" t="str">
        <f t="shared" si="10"/>
        <v/>
      </c>
      <c r="AO40" s="153" t="e">
        <f t="shared" si="11"/>
        <v>#VALUE!</v>
      </c>
      <c r="AP40" s="125">
        <f t="shared" si="42"/>
        <v>0</v>
      </c>
      <c r="AQ40" s="120">
        <f t="shared" si="43"/>
        <v>0</v>
      </c>
      <c r="AR40" s="126"/>
      <c r="AS40" s="127">
        <f t="shared" si="44"/>
        <v>0</v>
      </c>
      <c r="AT40" s="127">
        <f t="shared" si="45"/>
        <v>0</v>
      </c>
      <c r="AU40" s="128">
        <f t="shared" si="46"/>
        <v>0</v>
      </c>
      <c r="AV40" s="129">
        <f t="shared" si="47"/>
        <v>0</v>
      </c>
      <c r="AW40" s="129" t="str">
        <f t="shared" si="48"/>
        <v>-</v>
      </c>
      <c r="AX40" s="130"/>
      <c r="AY40" s="127" t="str">
        <f t="shared" si="16"/>
        <v>км 0+000 - км 0+000</v>
      </c>
      <c r="AZ40" s="129" t="str">
        <f t="shared" si="17"/>
        <v>-</v>
      </c>
      <c r="BA40" s="131">
        <f t="shared" si="18"/>
        <v>0.5</v>
      </c>
      <c r="BB40" s="130"/>
      <c r="BC40" s="130"/>
      <c r="BD40" s="128" t="str">
        <f t="shared" si="19"/>
        <v>км 0+000 - км 0+000</v>
      </c>
      <c r="BE40" s="131">
        <f t="shared" si="20"/>
        <v>0.5</v>
      </c>
      <c r="BF40" s="154" t="e">
        <f t="shared" ca="1" si="49"/>
        <v>#N/A</v>
      </c>
    </row>
    <row r="41" spans="1:58" ht="16.5" x14ac:dyDescent="0.25">
      <c r="A41" s="110">
        <f t="shared" si="23"/>
        <v>0</v>
      </c>
      <c r="B41" s="110"/>
      <c r="C41" s="111">
        <f t="shared" si="22"/>
        <v>0</v>
      </c>
      <c r="D41" s="155"/>
      <c r="E41" s="156"/>
      <c r="F41" s="156"/>
      <c r="G41" s="157"/>
      <c r="H41" s="157"/>
      <c r="I41" s="157"/>
      <c r="J41" s="157"/>
      <c r="K41" s="157"/>
      <c r="L41" s="157"/>
      <c r="M41" s="158"/>
      <c r="N41" s="159" t="str">
        <f>IFERROR(VLOOKUP($F41,Лист1!$A$4:$F$72,2,FALSE),"")</f>
        <v/>
      </c>
      <c r="O41" s="159" t="str">
        <f>IFERROR(VLOOKUP($G41,Лист1!$A$4:$F$72,2,FALSE),"")</f>
        <v/>
      </c>
      <c r="P41" s="160" t="str">
        <f>IFERROR(VLOOKUP($H41,Лист1!$A$4:$F$72,2,FALSE),"")</f>
        <v/>
      </c>
      <c r="Q41" s="160" t="str">
        <f>IFERROR(VLOOKUP($I41,Лист1!$A$4:$F$72,2,FALSE),"")</f>
        <v/>
      </c>
      <c r="R41" s="160" t="str">
        <f>IFERROR(VLOOKUP($J41,Лист1!$A$4:$F$72,2,FALSE),"")</f>
        <v/>
      </c>
      <c r="S41" s="160" t="str">
        <f>IFERROR(VLOOKUP($K41,Лист1!$A$4:$F$72,2,FALSE),"")</f>
        <v/>
      </c>
      <c r="T41" s="160" t="str">
        <f>IFERROR(VLOOKUP($L41,Лист1!$A$4:$F$72,2,FALSE),"")</f>
        <v/>
      </c>
      <c r="U41" s="160" t="str">
        <f t="shared" si="0"/>
        <v/>
      </c>
      <c r="V41" s="161" t="str">
        <f>IFERROR(VLOOKUP($F41,Лист1!$A$4:$F$72,3,FALSE),"")</f>
        <v/>
      </c>
      <c r="W41" s="162" t="str">
        <f>IFERROR(VLOOKUP($G41,Лист1!$A$4:$F$72,3,FALSE),"")</f>
        <v/>
      </c>
      <c r="X41" s="162" t="str">
        <f>IFERROR(VLOOKUP($H41,Лист1!$A$4:$F$72,3,FALSE),"")</f>
        <v/>
      </c>
      <c r="Y41" s="162" t="str">
        <f>IFERROR(VLOOKUP($I41,Лист1!$A$4:$F$72,3,FALSE),"")</f>
        <v/>
      </c>
      <c r="Z41" s="162" t="str">
        <f>IFERROR(VLOOKUP($J41,Лист1!$A$4:$F$72,3,FALSE),"")</f>
        <v/>
      </c>
      <c r="AA41" s="162" t="str">
        <f>IFERROR(VLOOKUP($K41,Лист1!$A$4:$F$72,3,FALSE),"")</f>
        <v/>
      </c>
      <c r="AB41" s="162" t="str">
        <f>IFERROR(VLOOKUP($L41,Лист1!$A$4:$F$72,3,FALSE),"")</f>
        <v/>
      </c>
      <c r="AC41" s="162" t="str">
        <f>IFERROR(VLOOKUP($M41,Лист1!$A$4:$F$72,3,FALSE),"")</f>
        <v/>
      </c>
      <c r="AD41" s="163">
        <f t="shared" si="35"/>
        <v>0</v>
      </c>
      <c r="AE41" s="164">
        <f t="shared" si="36"/>
        <v>0</v>
      </c>
      <c r="AF41" s="165">
        <f t="shared" si="37"/>
        <v>0</v>
      </c>
      <c r="AG41" s="165">
        <f t="shared" si="38"/>
        <v>0</v>
      </c>
      <c r="AH41" s="165">
        <f t="shared" si="39"/>
        <v>0</v>
      </c>
      <c r="AI41" s="166">
        <f t="shared" si="40"/>
        <v>0</v>
      </c>
      <c r="AJ41" s="166" t="str">
        <f t="shared" si="7"/>
        <v>000</v>
      </c>
      <c r="AK41" s="166" t="str">
        <f t="shared" si="8"/>
        <v>000</v>
      </c>
      <c r="AL41" s="167"/>
      <c r="AM41" s="168" t="str">
        <f t="shared" si="41"/>
        <v>км 0+000 - км 0+000</v>
      </c>
      <c r="AN41" s="169" t="str">
        <f t="shared" si="10"/>
        <v/>
      </c>
      <c r="AO41" s="170" t="e">
        <f t="shared" si="11"/>
        <v>#VALUE!</v>
      </c>
      <c r="AP41" s="171">
        <f t="shared" si="42"/>
        <v>0</v>
      </c>
      <c r="AQ41" s="172">
        <f t="shared" si="43"/>
        <v>0</v>
      </c>
      <c r="AR41" s="173"/>
      <c r="AS41" s="174">
        <f t="shared" si="44"/>
        <v>0</v>
      </c>
      <c r="AT41" s="174">
        <f t="shared" si="45"/>
        <v>0</v>
      </c>
      <c r="AU41" s="175">
        <f t="shared" si="46"/>
        <v>0</v>
      </c>
      <c r="AV41" s="176">
        <f t="shared" si="47"/>
        <v>0</v>
      </c>
      <c r="AW41" s="176" t="str">
        <f t="shared" si="48"/>
        <v>-</v>
      </c>
      <c r="AX41" s="177"/>
      <c r="AY41" s="178" t="str">
        <f t="shared" si="16"/>
        <v>км 0+000 - км 0+000</v>
      </c>
      <c r="AZ41" s="179" t="str">
        <f t="shared" si="17"/>
        <v>-</v>
      </c>
      <c r="BA41" s="180">
        <f t="shared" si="18"/>
        <v>0.5</v>
      </c>
      <c r="BB41" s="177"/>
      <c r="BC41" s="177"/>
      <c r="BD41" s="175" t="str">
        <f t="shared" si="19"/>
        <v>км 0+000 - км 0+000</v>
      </c>
      <c r="BE41" s="181">
        <f t="shared" si="20"/>
        <v>0.5</v>
      </c>
      <c r="BF41" s="182" t="e">
        <f t="shared" ca="1" si="49"/>
        <v>#N/A</v>
      </c>
    </row>
    <row r="42" spans="1:58" ht="16.5" x14ac:dyDescent="0.25">
      <c r="A42" s="110">
        <f t="shared" si="23"/>
        <v>0</v>
      </c>
      <c r="B42" s="110"/>
      <c r="C42" s="111">
        <f t="shared" si="22"/>
        <v>0</v>
      </c>
      <c r="D42" s="112"/>
      <c r="E42" s="113"/>
      <c r="F42" s="113"/>
      <c r="G42" s="113"/>
      <c r="H42" s="113"/>
      <c r="I42" s="113"/>
      <c r="J42" s="113"/>
      <c r="K42" s="113"/>
      <c r="L42" s="113"/>
      <c r="M42" s="114"/>
      <c r="N42" s="147" t="str">
        <f>IFERROR(VLOOKUP($F42,Лист1!$A$4:$F$72,2,FALSE),"")</f>
        <v/>
      </c>
      <c r="O42" s="147" t="str">
        <f>IFERROR(VLOOKUP($G42,Лист1!$A$4:$F$72,2,FALSE),"")</f>
        <v/>
      </c>
      <c r="P42" s="115" t="str">
        <f>IFERROR(VLOOKUP($H42,Лист1!$A$4:$F$72,2,FALSE),"")</f>
        <v/>
      </c>
      <c r="Q42" s="115" t="str">
        <f>IFERROR(VLOOKUP($I42,Лист1!$A$4:$F$72,2,FALSE),"")</f>
        <v/>
      </c>
      <c r="R42" s="115" t="str">
        <f>IFERROR(VLOOKUP($J42,Лист1!$A$4:$F$72,2,FALSE),"")</f>
        <v/>
      </c>
      <c r="S42" s="115" t="str">
        <f>IFERROR(VLOOKUP($K42,Лист1!$A$4:$F$72,2,FALSE),"")</f>
        <v/>
      </c>
      <c r="T42" s="115" t="str">
        <f>IFERROR(VLOOKUP($L42,Лист1!$A$4:$F$72,2,FALSE),"")</f>
        <v/>
      </c>
      <c r="U42" s="115" t="str">
        <f t="shared" si="0"/>
        <v/>
      </c>
      <c r="V42" s="148" t="str">
        <f>IFERROR(VLOOKUP($F42,Лист1!$A$4:$F$72,3,FALSE),"")</f>
        <v/>
      </c>
      <c r="W42" s="116" t="str">
        <f>IFERROR(VLOOKUP($G42,Лист1!$A$4:$F$72,3,FALSE),"")</f>
        <v/>
      </c>
      <c r="X42" s="116" t="str">
        <f>IFERROR(VLOOKUP($H42,Лист1!$A$4:$F$72,3,FALSE),"")</f>
        <v/>
      </c>
      <c r="Y42" s="116" t="str">
        <f>IFERROR(VLOOKUP($I42,Лист1!$A$4:$F$72,3,FALSE),"")</f>
        <v/>
      </c>
      <c r="Z42" s="116" t="str">
        <f>IFERROR(VLOOKUP($J42,Лист1!$A$4:$F$72,3,FALSE),"")</f>
        <v/>
      </c>
      <c r="AA42" s="116" t="str">
        <f>IFERROR(VLOOKUP($K42,Лист1!$A$4:$F$72,3,FALSE),"")</f>
        <v/>
      </c>
      <c r="AB42" s="116" t="str">
        <f>IFERROR(VLOOKUP($L42,Лист1!$A$4:$F$72,3,FALSE),"")</f>
        <v/>
      </c>
      <c r="AC42" s="116" t="str">
        <f>IFERROR(VLOOKUP($M42,Лист1!$A$4:$F$72,3,FALSE),"")</f>
        <v/>
      </c>
      <c r="AD42" s="152">
        <f t="shared" si="35"/>
        <v>0</v>
      </c>
      <c r="AE42" s="118">
        <f t="shared" si="36"/>
        <v>0</v>
      </c>
      <c r="AF42" s="119">
        <f t="shared" si="37"/>
        <v>0</v>
      </c>
      <c r="AG42" s="119">
        <f t="shared" si="38"/>
        <v>0</v>
      </c>
      <c r="AH42" s="119">
        <f t="shared" si="39"/>
        <v>0</v>
      </c>
      <c r="AI42" s="121">
        <f t="shared" si="40"/>
        <v>0</v>
      </c>
      <c r="AJ42" s="121" t="str">
        <f t="shared" si="7"/>
        <v>000</v>
      </c>
      <c r="AK42" s="121" t="str">
        <f t="shared" si="8"/>
        <v>000</v>
      </c>
      <c r="AL42" s="122"/>
      <c r="AM42" s="123" t="str">
        <f t="shared" si="41"/>
        <v>км 0+000 - км 0+000</v>
      </c>
      <c r="AN42" s="124" t="str">
        <f t="shared" si="10"/>
        <v/>
      </c>
      <c r="AO42" s="153" t="e">
        <f t="shared" si="11"/>
        <v>#VALUE!</v>
      </c>
      <c r="AP42" s="125">
        <f t="shared" si="42"/>
        <v>0</v>
      </c>
      <c r="AQ42" s="120">
        <f t="shared" si="43"/>
        <v>0</v>
      </c>
      <c r="AR42" s="126"/>
      <c r="AS42" s="127">
        <f t="shared" si="44"/>
        <v>0</v>
      </c>
      <c r="AT42" s="127">
        <f t="shared" si="45"/>
        <v>0</v>
      </c>
      <c r="AU42" s="128">
        <f t="shared" si="46"/>
        <v>0</v>
      </c>
      <c r="AV42" s="129">
        <f t="shared" si="47"/>
        <v>0</v>
      </c>
      <c r="AW42" s="129" t="str">
        <f t="shared" si="48"/>
        <v>-</v>
      </c>
      <c r="AX42" s="130"/>
      <c r="AY42" s="127" t="str">
        <f t="shared" si="16"/>
        <v>км 0+000 - км 0+000</v>
      </c>
      <c r="AZ42" s="129" t="str">
        <f t="shared" si="17"/>
        <v>-</v>
      </c>
      <c r="BA42" s="131">
        <f t="shared" si="18"/>
        <v>0.5</v>
      </c>
      <c r="BB42" s="130"/>
      <c r="BC42" s="130"/>
      <c r="BD42" s="128" t="str">
        <f t="shared" si="19"/>
        <v>км 0+000 - км 0+000</v>
      </c>
      <c r="BE42" s="131">
        <f t="shared" si="20"/>
        <v>0.5</v>
      </c>
      <c r="BF42" s="154" t="e">
        <f t="shared" ca="1" si="49"/>
        <v>#N/A</v>
      </c>
    </row>
    <row r="43" spans="1:58" ht="16.5" x14ac:dyDescent="0.25">
      <c r="A43" s="110">
        <f t="shared" si="23"/>
        <v>0</v>
      </c>
      <c r="B43" s="110"/>
      <c r="C43" s="111">
        <f t="shared" si="22"/>
        <v>0</v>
      </c>
      <c r="D43" s="155"/>
      <c r="E43" s="156"/>
      <c r="F43" s="156"/>
      <c r="G43" s="157"/>
      <c r="H43" s="157"/>
      <c r="I43" s="157"/>
      <c r="J43" s="157"/>
      <c r="K43" s="157"/>
      <c r="L43" s="157"/>
      <c r="M43" s="158"/>
      <c r="N43" s="159" t="str">
        <f>IFERROR(VLOOKUP($F43,Лист1!$A$4:$F$72,2,FALSE),"")</f>
        <v/>
      </c>
      <c r="O43" s="159" t="str">
        <f>IFERROR(VLOOKUP($G43,Лист1!$A$4:$F$72,2,FALSE),"")</f>
        <v/>
      </c>
      <c r="P43" s="160" t="str">
        <f>IFERROR(VLOOKUP($H43,Лист1!$A$4:$F$72,2,FALSE),"")</f>
        <v/>
      </c>
      <c r="Q43" s="160" t="str">
        <f>IFERROR(VLOOKUP($I43,Лист1!$A$4:$F$72,2,FALSE),"")</f>
        <v/>
      </c>
      <c r="R43" s="160" t="str">
        <f>IFERROR(VLOOKUP($J43,Лист1!$A$4:$F$72,2,FALSE),"")</f>
        <v/>
      </c>
      <c r="S43" s="160" t="str">
        <f>IFERROR(VLOOKUP($K43,Лист1!$A$4:$F$72,2,FALSE),"")</f>
        <v/>
      </c>
      <c r="T43" s="160" t="str">
        <f>IFERROR(VLOOKUP($L43,Лист1!$A$4:$F$72,2,FALSE),"")</f>
        <v/>
      </c>
      <c r="U43" s="160" t="str">
        <f t="shared" si="0"/>
        <v/>
      </c>
      <c r="V43" s="161" t="str">
        <f>IFERROR(VLOOKUP($F43,Лист1!$A$4:$F$72,3,FALSE),"")</f>
        <v/>
      </c>
      <c r="W43" s="162" t="str">
        <f>IFERROR(VLOOKUP($G43,Лист1!$A$4:$F$72,3,FALSE),"")</f>
        <v/>
      </c>
      <c r="X43" s="162" t="str">
        <f>IFERROR(VLOOKUP($H43,Лист1!$A$4:$F$72,3,FALSE),"")</f>
        <v/>
      </c>
      <c r="Y43" s="162" t="str">
        <f>IFERROR(VLOOKUP($I43,Лист1!$A$4:$F$72,3,FALSE),"")</f>
        <v/>
      </c>
      <c r="Z43" s="162" t="str">
        <f>IFERROR(VLOOKUP($J43,Лист1!$A$4:$F$72,3,FALSE),"")</f>
        <v/>
      </c>
      <c r="AA43" s="162" t="str">
        <f>IFERROR(VLOOKUP($K43,Лист1!$A$4:$F$72,3,FALSE),"")</f>
        <v/>
      </c>
      <c r="AB43" s="162" t="str">
        <f>IFERROR(VLOOKUP($L43,Лист1!$A$4:$F$72,3,FALSE),"")</f>
        <v/>
      </c>
      <c r="AC43" s="162" t="str">
        <f>IFERROR(VLOOKUP($M43,Лист1!$A$4:$F$72,3,FALSE),"")</f>
        <v/>
      </c>
      <c r="AD43" s="163">
        <f t="shared" si="35"/>
        <v>0</v>
      </c>
      <c r="AE43" s="164">
        <f t="shared" si="36"/>
        <v>0</v>
      </c>
      <c r="AF43" s="165">
        <f t="shared" si="37"/>
        <v>0</v>
      </c>
      <c r="AG43" s="165">
        <f t="shared" si="38"/>
        <v>0</v>
      </c>
      <c r="AH43" s="165">
        <f t="shared" si="39"/>
        <v>0</v>
      </c>
      <c r="AI43" s="166">
        <f t="shared" si="40"/>
        <v>0</v>
      </c>
      <c r="AJ43" s="166" t="str">
        <f t="shared" si="7"/>
        <v>000</v>
      </c>
      <c r="AK43" s="166" t="str">
        <f t="shared" si="8"/>
        <v>000</v>
      </c>
      <c r="AL43" s="167"/>
      <c r="AM43" s="168" t="str">
        <f t="shared" si="41"/>
        <v>км 0+000 - км 0+000</v>
      </c>
      <c r="AN43" s="169" t="str">
        <f t="shared" si="10"/>
        <v/>
      </c>
      <c r="AO43" s="170" t="e">
        <f t="shared" si="11"/>
        <v>#VALUE!</v>
      </c>
      <c r="AP43" s="171">
        <f t="shared" si="42"/>
        <v>0</v>
      </c>
      <c r="AQ43" s="172">
        <f t="shared" si="43"/>
        <v>0</v>
      </c>
      <c r="AR43" s="173"/>
      <c r="AS43" s="174">
        <f t="shared" si="44"/>
        <v>0</v>
      </c>
      <c r="AT43" s="174">
        <f t="shared" si="45"/>
        <v>0</v>
      </c>
      <c r="AU43" s="175">
        <f t="shared" si="46"/>
        <v>0</v>
      </c>
      <c r="AV43" s="176">
        <f t="shared" si="47"/>
        <v>0</v>
      </c>
      <c r="AW43" s="176" t="str">
        <f t="shared" si="48"/>
        <v>-</v>
      </c>
      <c r="AX43" s="177"/>
      <c r="AY43" s="178" t="str">
        <f t="shared" si="16"/>
        <v>км 0+000 - км 0+000</v>
      </c>
      <c r="AZ43" s="179" t="str">
        <f t="shared" si="17"/>
        <v>-</v>
      </c>
      <c r="BA43" s="180">
        <f t="shared" si="18"/>
        <v>0.5</v>
      </c>
      <c r="BB43" s="177"/>
      <c r="BC43" s="177"/>
      <c r="BD43" s="175" t="str">
        <f t="shared" si="19"/>
        <v>км 0+000 - км 0+000</v>
      </c>
      <c r="BE43" s="181">
        <f t="shared" si="20"/>
        <v>0.5</v>
      </c>
      <c r="BF43" s="182" t="e">
        <f t="shared" ca="1" si="49"/>
        <v>#N/A</v>
      </c>
    </row>
    <row r="44" spans="1:58" ht="16.5" x14ac:dyDescent="0.25">
      <c r="A44" s="110">
        <f t="shared" si="23"/>
        <v>0</v>
      </c>
      <c r="B44" s="110"/>
      <c r="C44" s="111">
        <f t="shared" si="22"/>
        <v>0</v>
      </c>
      <c r="D44" s="112"/>
      <c r="E44" s="113"/>
      <c r="F44" s="113"/>
      <c r="G44" s="113"/>
      <c r="H44" s="113"/>
      <c r="I44" s="113"/>
      <c r="J44" s="113"/>
      <c r="K44" s="113"/>
      <c r="L44" s="113"/>
      <c r="M44" s="114"/>
      <c r="N44" s="147" t="str">
        <f>IFERROR(VLOOKUP($F44,Лист1!$A$4:$F$72,2,FALSE),"")</f>
        <v/>
      </c>
      <c r="O44" s="147" t="str">
        <f>IFERROR(VLOOKUP($G44,Лист1!$A$4:$F$72,2,FALSE),"")</f>
        <v/>
      </c>
      <c r="P44" s="115" t="str">
        <f>IFERROR(VLOOKUP($H44,Лист1!$A$4:$F$72,2,FALSE),"")</f>
        <v/>
      </c>
      <c r="Q44" s="115" t="str">
        <f>IFERROR(VLOOKUP($I44,Лист1!$A$4:$F$72,2,FALSE),"")</f>
        <v/>
      </c>
      <c r="R44" s="115" t="str">
        <f>IFERROR(VLOOKUP($J44,Лист1!$A$4:$F$72,2,FALSE),"")</f>
        <v/>
      </c>
      <c r="S44" s="115" t="str">
        <f>IFERROR(VLOOKUP($K44,Лист1!$A$4:$F$72,2,FALSE),"")</f>
        <v/>
      </c>
      <c r="T44" s="115" t="str">
        <f>IFERROR(VLOOKUP($L44,Лист1!$A$4:$F$72,2,FALSE),"")</f>
        <v/>
      </c>
      <c r="U44" s="115" t="str">
        <f t="shared" ref="U44:U75" si="50">IF(ISBLANK($M44),"",$M44)</f>
        <v/>
      </c>
      <c r="V44" s="148" t="str">
        <f>IFERROR(VLOOKUP($F44,Лист1!$A$4:$F$72,3,FALSE),"")</f>
        <v/>
      </c>
      <c r="W44" s="116" t="str">
        <f>IFERROR(VLOOKUP($G44,Лист1!$A$4:$F$72,3,FALSE),"")</f>
        <v/>
      </c>
      <c r="X44" s="116" t="str">
        <f>IFERROR(VLOOKUP($H44,Лист1!$A$4:$F$72,3,FALSE),"")</f>
        <v/>
      </c>
      <c r="Y44" s="116" t="str">
        <f>IFERROR(VLOOKUP($I44,Лист1!$A$4:$F$72,3,FALSE),"")</f>
        <v/>
      </c>
      <c r="Z44" s="116" t="str">
        <f>IFERROR(VLOOKUP($J44,Лист1!$A$4:$F$72,3,FALSE),"")</f>
        <v/>
      </c>
      <c r="AA44" s="116" t="str">
        <f>IFERROR(VLOOKUP($K44,Лист1!$A$4:$F$72,3,FALSE),"")</f>
        <v/>
      </c>
      <c r="AB44" s="116" t="str">
        <f>IFERROR(VLOOKUP($L44,Лист1!$A$4:$F$72,3,FALSE),"")</f>
        <v/>
      </c>
      <c r="AC44" s="116" t="str">
        <f>IFERROR(VLOOKUP($M44,Лист1!$A$4:$F$72,3,FALSE),"")</f>
        <v/>
      </c>
      <c r="AD44" s="152">
        <f t="shared" si="35"/>
        <v>0</v>
      </c>
      <c r="AE44" s="118">
        <f t="shared" si="36"/>
        <v>0</v>
      </c>
      <c r="AF44" s="119">
        <f t="shared" si="37"/>
        <v>0</v>
      </c>
      <c r="AG44" s="119">
        <f t="shared" si="38"/>
        <v>0</v>
      </c>
      <c r="AH44" s="119">
        <f t="shared" si="39"/>
        <v>0</v>
      </c>
      <c r="AI44" s="121">
        <f t="shared" si="40"/>
        <v>0</v>
      </c>
      <c r="AJ44" s="121" t="str">
        <f t="shared" ref="AJ44:AJ75" si="51">IF($AG44=0,"000",$AG44)</f>
        <v>000</v>
      </c>
      <c r="AK44" s="121" t="str">
        <f t="shared" ref="AK44:AK75" si="52">IF($AI44=0,"000",$AI44)</f>
        <v>000</v>
      </c>
      <c r="AL44" s="122"/>
      <c r="AM44" s="123" t="str">
        <f t="shared" si="41"/>
        <v>км 0+000 - км 0+000</v>
      </c>
      <c r="AN44" s="124" t="str">
        <f t="shared" ref="AN44:AN75" si="53">IF(ISBLANK($M44),N44&amp;O44&amp;P44&amp;Q44&amp;R44&amp;S44&amp;T44&amp;U44,N44&amp;O44&amp;P44&amp;Q44&amp;R44&amp;S44&amp;T44&amp;U44&amp;";")</f>
        <v/>
      </c>
      <c r="AO44" s="153" t="e">
        <f t="shared" ref="AO44:AO75" si="54">UPPER(LEFT($AN44,1))&amp;RIGHT(LOWER($AN44),LEN($AN44)-1)</f>
        <v>#VALUE!</v>
      </c>
      <c r="AP44" s="125">
        <f t="shared" si="42"/>
        <v>0</v>
      </c>
      <c r="AQ44" s="120">
        <f t="shared" si="43"/>
        <v>0</v>
      </c>
      <c r="AR44" s="126"/>
      <c r="AS44" s="127">
        <f t="shared" si="44"/>
        <v>0</v>
      </c>
      <c r="AT44" s="127">
        <f t="shared" si="45"/>
        <v>0</v>
      </c>
      <c r="AU44" s="128">
        <f t="shared" si="46"/>
        <v>0</v>
      </c>
      <c r="AV44" s="129">
        <f t="shared" si="47"/>
        <v>0</v>
      </c>
      <c r="AW44" s="129" t="str">
        <f t="shared" si="48"/>
        <v>-</v>
      </c>
      <c r="AX44" s="130"/>
      <c r="AY44" s="127" t="str">
        <f t="shared" ref="AY44:AY75" si="55">$AM44</f>
        <v>км 0+000 - км 0+000</v>
      </c>
      <c r="AZ44" s="129" t="str">
        <f t="shared" ref="AZ44:AZ75" si="56">$AW44</f>
        <v>-</v>
      </c>
      <c r="BA44" s="131">
        <f t="shared" ref="BA44:BA75" si="57">$BE44</f>
        <v>0.5</v>
      </c>
      <c r="BB44" s="130"/>
      <c r="BC44" s="130"/>
      <c r="BD44" s="128" t="str">
        <f t="shared" ref="BD44:BD75" si="58">$AM44</f>
        <v>км 0+000 - км 0+000</v>
      </c>
      <c r="BE44" s="131">
        <f t="shared" ref="BE44:BE75" si="59">ROUND(1-((5-$AP44)/10),2)</f>
        <v>0.5</v>
      </c>
      <c r="BF44" s="154" t="e">
        <f t="shared" ca="1" si="49"/>
        <v>#N/A</v>
      </c>
    </row>
    <row r="45" spans="1:58" ht="16.5" x14ac:dyDescent="0.25">
      <c r="A45" s="110">
        <f t="shared" si="23"/>
        <v>0</v>
      </c>
      <c r="B45" s="110"/>
      <c r="C45" s="111">
        <f t="shared" si="22"/>
        <v>0</v>
      </c>
      <c r="D45" s="155"/>
      <c r="E45" s="156"/>
      <c r="F45" s="156"/>
      <c r="G45" s="157"/>
      <c r="H45" s="157"/>
      <c r="I45" s="157"/>
      <c r="J45" s="157"/>
      <c r="K45" s="157"/>
      <c r="L45" s="157"/>
      <c r="M45" s="158"/>
      <c r="N45" s="159" t="str">
        <f>IFERROR(VLOOKUP($F45,Лист1!$A$4:$F$72,2,FALSE),"")</f>
        <v/>
      </c>
      <c r="O45" s="159" t="str">
        <f>IFERROR(VLOOKUP($G45,Лист1!$A$4:$F$72,2,FALSE),"")</f>
        <v/>
      </c>
      <c r="P45" s="160" t="str">
        <f>IFERROR(VLOOKUP($H45,Лист1!$A$4:$F$72,2,FALSE),"")</f>
        <v/>
      </c>
      <c r="Q45" s="160" t="str">
        <f>IFERROR(VLOOKUP($I45,Лист1!$A$4:$F$72,2,FALSE),"")</f>
        <v/>
      </c>
      <c r="R45" s="160" t="str">
        <f>IFERROR(VLOOKUP($J45,Лист1!$A$4:$F$72,2,FALSE),"")</f>
        <v/>
      </c>
      <c r="S45" s="160" t="str">
        <f>IFERROR(VLOOKUP($K45,Лист1!$A$4:$F$72,2,FALSE),"")</f>
        <v/>
      </c>
      <c r="T45" s="160" t="str">
        <f>IFERROR(VLOOKUP($L45,Лист1!$A$4:$F$72,2,FALSE),"")</f>
        <v/>
      </c>
      <c r="U45" s="160" t="str">
        <f t="shared" si="50"/>
        <v/>
      </c>
      <c r="V45" s="161" t="str">
        <f>IFERROR(VLOOKUP($F45,Лист1!$A$4:$F$72,3,FALSE),"")</f>
        <v/>
      </c>
      <c r="W45" s="162" t="str">
        <f>IFERROR(VLOOKUP($G45,Лист1!$A$4:$F$72,3,FALSE),"")</f>
        <v/>
      </c>
      <c r="X45" s="162" t="str">
        <f>IFERROR(VLOOKUP($H45,Лист1!$A$4:$F$72,3,FALSE),"")</f>
        <v/>
      </c>
      <c r="Y45" s="162" t="str">
        <f>IFERROR(VLOOKUP($I45,Лист1!$A$4:$F$72,3,FALSE),"")</f>
        <v/>
      </c>
      <c r="Z45" s="162" t="str">
        <f>IFERROR(VLOOKUP($J45,Лист1!$A$4:$F$72,3,FALSE),"")</f>
        <v/>
      </c>
      <c r="AA45" s="162" t="str">
        <f>IFERROR(VLOOKUP($K45,Лист1!$A$4:$F$72,3,FALSE),"")</f>
        <v/>
      </c>
      <c r="AB45" s="162" t="str">
        <f>IFERROR(VLOOKUP($L45,Лист1!$A$4:$F$72,3,FALSE),"")</f>
        <v/>
      </c>
      <c r="AC45" s="162" t="str">
        <f>IFERROR(VLOOKUP($M45,Лист1!$A$4:$F$72,3,FALSE),"")</f>
        <v/>
      </c>
      <c r="AD45" s="163">
        <f t="shared" si="35"/>
        <v>0</v>
      </c>
      <c r="AE45" s="164">
        <f t="shared" si="36"/>
        <v>0</v>
      </c>
      <c r="AF45" s="165">
        <f t="shared" si="37"/>
        <v>0</v>
      </c>
      <c r="AG45" s="165">
        <f t="shared" si="38"/>
        <v>0</v>
      </c>
      <c r="AH45" s="165">
        <f t="shared" si="39"/>
        <v>0</v>
      </c>
      <c r="AI45" s="166">
        <f t="shared" si="40"/>
        <v>0</v>
      </c>
      <c r="AJ45" s="166" t="str">
        <f t="shared" si="51"/>
        <v>000</v>
      </c>
      <c r="AK45" s="166" t="str">
        <f t="shared" si="52"/>
        <v>000</v>
      </c>
      <c r="AL45" s="167"/>
      <c r="AM45" s="168" t="str">
        <f t="shared" si="41"/>
        <v>км 0+000 - км 0+000</v>
      </c>
      <c r="AN45" s="169" t="str">
        <f t="shared" si="53"/>
        <v/>
      </c>
      <c r="AO45" s="170" t="e">
        <f t="shared" si="54"/>
        <v>#VALUE!</v>
      </c>
      <c r="AP45" s="171">
        <f t="shared" si="42"/>
        <v>0</v>
      </c>
      <c r="AQ45" s="172">
        <f t="shared" si="43"/>
        <v>0</v>
      </c>
      <c r="AR45" s="173"/>
      <c r="AS45" s="174">
        <f t="shared" si="44"/>
        <v>0</v>
      </c>
      <c r="AT45" s="174">
        <f t="shared" si="45"/>
        <v>0</v>
      </c>
      <c r="AU45" s="175">
        <f t="shared" si="46"/>
        <v>0</v>
      </c>
      <c r="AV45" s="176">
        <f t="shared" si="47"/>
        <v>0</v>
      </c>
      <c r="AW45" s="176" t="str">
        <f t="shared" si="48"/>
        <v>-</v>
      </c>
      <c r="AX45" s="177"/>
      <c r="AY45" s="178" t="str">
        <f t="shared" si="55"/>
        <v>км 0+000 - км 0+000</v>
      </c>
      <c r="AZ45" s="179" t="str">
        <f t="shared" si="56"/>
        <v>-</v>
      </c>
      <c r="BA45" s="180">
        <f t="shared" si="57"/>
        <v>0.5</v>
      </c>
      <c r="BB45" s="177"/>
      <c r="BC45" s="177"/>
      <c r="BD45" s="175" t="str">
        <f t="shared" si="58"/>
        <v>км 0+000 - км 0+000</v>
      </c>
      <c r="BE45" s="181">
        <f t="shared" si="59"/>
        <v>0.5</v>
      </c>
      <c r="BF45" s="182" t="e">
        <f t="shared" ca="1" si="49"/>
        <v>#N/A</v>
      </c>
    </row>
    <row r="46" spans="1:58" ht="16.5" x14ac:dyDescent="0.25">
      <c r="A46" s="110">
        <f t="shared" si="23"/>
        <v>0</v>
      </c>
      <c r="B46" s="110"/>
      <c r="C46" s="111">
        <f t="shared" si="22"/>
        <v>0</v>
      </c>
      <c r="D46" s="112"/>
      <c r="E46" s="113"/>
      <c r="F46" s="113"/>
      <c r="G46" s="113"/>
      <c r="H46" s="113"/>
      <c r="I46" s="113"/>
      <c r="J46" s="113"/>
      <c r="K46" s="113"/>
      <c r="L46" s="113"/>
      <c r="M46" s="114"/>
      <c r="N46" s="147" t="str">
        <f>IFERROR(VLOOKUP($F46,Лист1!$A$4:$F$72,2,FALSE),"")</f>
        <v/>
      </c>
      <c r="O46" s="147" t="str">
        <f>IFERROR(VLOOKUP($G46,Лист1!$A$4:$F$72,2,FALSE),"")</f>
        <v/>
      </c>
      <c r="P46" s="115" t="str">
        <f>IFERROR(VLOOKUP($H46,Лист1!$A$4:$F$72,2,FALSE),"")</f>
        <v/>
      </c>
      <c r="Q46" s="115" t="str">
        <f>IFERROR(VLOOKUP($I46,Лист1!$A$4:$F$72,2,FALSE),"")</f>
        <v/>
      </c>
      <c r="R46" s="115" t="str">
        <f>IFERROR(VLOOKUP($J46,Лист1!$A$4:$F$72,2,FALSE),"")</f>
        <v/>
      </c>
      <c r="S46" s="115" t="str">
        <f>IFERROR(VLOOKUP($K46,Лист1!$A$4:$F$72,2,FALSE),"")</f>
        <v/>
      </c>
      <c r="T46" s="115" t="str">
        <f>IFERROR(VLOOKUP($L46,Лист1!$A$4:$F$72,2,FALSE),"")</f>
        <v/>
      </c>
      <c r="U46" s="115" t="str">
        <f t="shared" si="50"/>
        <v/>
      </c>
      <c r="V46" s="148" t="str">
        <f>IFERROR(VLOOKUP($F46,Лист1!$A$4:$F$72,3,FALSE),"")</f>
        <v/>
      </c>
      <c r="W46" s="116" t="str">
        <f>IFERROR(VLOOKUP($G46,Лист1!$A$4:$F$72,3,FALSE),"")</f>
        <v/>
      </c>
      <c r="X46" s="116" t="str">
        <f>IFERROR(VLOOKUP($H46,Лист1!$A$4:$F$72,3,FALSE),"")</f>
        <v/>
      </c>
      <c r="Y46" s="116" t="str">
        <f>IFERROR(VLOOKUP($I46,Лист1!$A$4:$F$72,3,FALSE),"")</f>
        <v/>
      </c>
      <c r="Z46" s="116" t="str">
        <f>IFERROR(VLOOKUP($J46,Лист1!$A$4:$F$72,3,FALSE),"")</f>
        <v/>
      </c>
      <c r="AA46" s="116" t="str">
        <f>IFERROR(VLOOKUP($K46,Лист1!$A$4:$F$72,3,FALSE),"")</f>
        <v/>
      </c>
      <c r="AB46" s="116" t="str">
        <f>IFERROR(VLOOKUP($L46,Лист1!$A$4:$F$72,3,FALSE),"")</f>
        <v/>
      </c>
      <c r="AC46" s="116" t="str">
        <f>IFERROR(VLOOKUP($M46,Лист1!$A$4:$F$72,3,FALSE),"")</f>
        <v/>
      </c>
      <c r="AD46" s="152">
        <f t="shared" si="35"/>
        <v>0</v>
      </c>
      <c r="AE46" s="118">
        <f t="shared" si="36"/>
        <v>0</v>
      </c>
      <c r="AF46" s="119">
        <f t="shared" si="37"/>
        <v>0</v>
      </c>
      <c r="AG46" s="119">
        <f t="shared" si="38"/>
        <v>0</v>
      </c>
      <c r="AH46" s="119">
        <f t="shared" si="39"/>
        <v>0</v>
      </c>
      <c r="AI46" s="121">
        <f t="shared" si="40"/>
        <v>0</v>
      </c>
      <c r="AJ46" s="121" t="str">
        <f t="shared" si="51"/>
        <v>000</v>
      </c>
      <c r="AK46" s="121" t="str">
        <f t="shared" si="52"/>
        <v>000</v>
      </c>
      <c r="AL46" s="122"/>
      <c r="AM46" s="123" t="str">
        <f t="shared" si="41"/>
        <v>км 0+000 - км 0+000</v>
      </c>
      <c r="AN46" s="124" t="str">
        <f t="shared" si="53"/>
        <v/>
      </c>
      <c r="AO46" s="153" t="e">
        <f t="shared" si="54"/>
        <v>#VALUE!</v>
      </c>
      <c r="AP46" s="125">
        <f t="shared" si="42"/>
        <v>0</v>
      </c>
      <c r="AQ46" s="120">
        <f t="shared" si="43"/>
        <v>0</v>
      </c>
      <c r="AR46" s="126"/>
      <c r="AS46" s="127">
        <f t="shared" si="44"/>
        <v>0</v>
      </c>
      <c r="AT46" s="127">
        <f t="shared" si="45"/>
        <v>0</v>
      </c>
      <c r="AU46" s="128">
        <f t="shared" si="46"/>
        <v>0</v>
      </c>
      <c r="AV46" s="129">
        <f t="shared" si="47"/>
        <v>0</v>
      </c>
      <c r="AW46" s="129" t="str">
        <f t="shared" si="48"/>
        <v>-</v>
      </c>
      <c r="AX46" s="130"/>
      <c r="AY46" s="127" t="str">
        <f t="shared" si="55"/>
        <v>км 0+000 - км 0+000</v>
      </c>
      <c r="AZ46" s="129" t="str">
        <f t="shared" si="56"/>
        <v>-</v>
      </c>
      <c r="BA46" s="131">
        <f t="shared" si="57"/>
        <v>0.5</v>
      </c>
      <c r="BB46" s="130"/>
      <c r="BC46" s="130"/>
      <c r="BD46" s="128" t="str">
        <f t="shared" si="58"/>
        <v>км 0+000 - км 0+000</v>
      </c>
      <c r="BE46" s="131">
        <f t="shared" si="59"/>
        <v>0.5</v>
      </c>
      <c r="BF46" s="154" t="e">
        <f t="shared" ca="1" si="49"/>
        <v>#N/A</v>
      </c>
    </row>
    <row r="47" spans="1:58" ht="16.5" x14ac:dyDescent="0.25">
      <c r="A47" s="110">
        <f t="shared" si="23"/>
        <v>0</v>
      </c>
      <c r="B47" s="110"/>
      <c r="C47" s="111">
        <f t="shared" si="22"/>
        <v>0</v>
      </c>
      <c r="D47" s="155"/>
      <c r="E47" s="156"/>
      <c r="F47" s="156"/>
      <c r="G47" s="157"/>
      <c r="H47" s="157"/>
      <c r="I47" s="157"/>
      <c r="J47" s="157"/>
      <c r="K47" s="157"/>
      <c r="L47" s="157"/>
      <c r="M47" s="158"/>
      <c r="N47" s="159" t="str">
        <f>IFERROR(VLOOKUP($F47,Лист1!$A$4:$F$72,2,FALSE),"")</f>
        <v/>
      </c>
      <c r="O47" s="159" t="str">
        <f>IFERROR(VLOOKUP($G47,Лист1!$A$4:$F$72,2,FALSE),"")</f>
        <v/>
      </c>
      <c r="P47" s="160" t="str">
        <f>IFERROR(VLOOKUP($H47,Лист1!$A$4:$F$72,2,FALSE),"")</f>
        <v/>
      </c>
      <c r="Q47" s="160" t="str">
        <f>IFERROR(VLOOKUP($I47,Лист1!$A$4:$F$72,2,FALSE),"")</f>
        <v/>
      </c>
      <c r="R47" s="160" t="str">
        <f>IFERROR(VLOOKUP($J47,Лист1!$A$4:$F$72,2,FALSE),"")</f>
        <v/>
      </c>
      <c r="S47" s="160" t="str">
        <f>IFERROR(VLOOKUP($K47,Лист1!$A$4:$F$72,2,FALSE),"")</f>
        <v/>
      </c>
      <c r="T47" s="160" t="str">
        <f>IFERROR(VLOOKUP($L47,Лист1!$A$4:$F$72,2,FALSE),"")</f>
        <v/>
      </c>
      <c r="U47" s="160" t="str">
        <f t="shared" si="50"/>
        <v/>
      </c>
      <c r="V47" s="161" t="str">
        <f>IFERROR(VLOOKUP($F47,Лист1!$A$4:$F$72,3,FALSE),"")</f>
        <v/>
      </c>
      <c r="W47" s="162" t="str">
        <f>IFERROR(VLOOKUP($G47,Лист1!$A$4:$F$72,3,FALSE),"")</f>
        <v/>
      </c>
      <c r="X47" s="162" t="str">
        <f>IFERROR(VLOOKUP($H47,Лист1!$A$4:$F$72,3,FALSE),"")</f>
        <v/>
      </c>
      <c r="Y47" s="162" t="str">
        <f>IFERROR(VLOOKUP($I47,Лист1!$A$4:$F$72,3,FALSE),"")</f>
        <v/>
      </c>
      <c r="Z47" s="162" t="str">
        <f>IFERROR(VLOOKUP($J47,Лист1!$A$4:$F$72,3,FALSE),"")</f>
        <v/>
      </c>
      <c r="AA47" s="162" t="str">
        <f>IFERROR(VLOOKUP($K47,Лист1!$A$4:$F$72,3,FALSE),"")</f>
        <v/>
      </c>
      <c r="AB47" s="162" t="str">
        <f>IFERROR(VLOOKUP($L47,Лист1!$A$4:$F$72,3,FALSE),"")</f>
        <v/>
      </c>
      <c r="AC47" s="162" t="str">
        <f>IFERROR(VLOOKUP($M47,Лист1!$A$4:$F$72,3,FALSE),"")</f>
        <v/>
      </c>
      <c r="AD47" s="163">
        <f t="shared" si="35"/>
        <v>0</v>
      </c>
      <c r="AE47" s="164">
        <f t="shared" si="36"/>
        <v>0</v>
      </c>
      <c r="AF47" s="165">
        <f t="shared" si="37"/>
        <v>0</v>
      </c>
      <c r="AG47" s="165">
        <f t="shared" si="38"/>
        <v>0</v>
      </c>
      <c r="AH47" s="165">
        <f t="shared" si="39"/>
        <v>0</v>
      </c>
      <c r="AI47" s="166">
        <f t="shared" si="40"/>
        <v>0</v>
      </c>
      <c r="AJ47" s="166" t="str">
        <f t="shared" si="51"/>
        <v>000</v>
      </c>
      <c r="AK47" s="166" t="str">
        <f t="shared" si="52"/>
        <v>000</v>
      </c>
      <c r="AL47" s="167"/>
      <c r="AM47" s="168" t="str">
        <f t="shared" si="41"/>
        <v>км 0+000 - км 0+000</v>
      </c>
      <c r="AN47" s="169" t="str">
        <f t="shared" si="53"/>
        <v/>
      </c>
      <c r="AO47" s="170" t="e">
        <f t="shared" si="54"/>
        <v>#VALUE!</v>
      </c>
      <c r="AP47" s="171">
        <f t="shared" si="42"/>
        <v>0</v>
      </c>
      <c r="AQ47" s="172">
        <f t="shared" si="43"/>
        <v>0</v>
      </c>
      <c r="AR47" s="173"/>
      <c r="AS47" s="174">
        <f t="shared" si="44"/>
        <v>0</v>
      </c>
      <c r="AT47" s="174">
        <f t="shared" si="45"/>
        <v>0</v>
      </c>
      <c r="AU47" s="175">
        <f t="shared" si="46"/>
        <v>0</v>
      </c>
      <c r="AV47" s="176">
        <f t="shared" si="47"/>
        <v>0</v>
      </c>
      <c r="AW47" s="176" t="str">
        <f t="shared" si="48"/>
        <v>-</v>
      </c>
      <c r="AX47" s="177"/>
      <c r="AY47" s="178" t="str">
        <f t="shared" si="55"/>
        <v>км 0+000 - км 0+000</v>
      </c>
      <c r="AZ47" s="179" t="str">
        <f t="shared" si="56"/>
        <v>-</v>
      </c>
      <c r="BA47" s="180">
        <f t="shared" si="57"/>
        <v>0.5</v>
      </c>
      <c r="BB47" s="177"/>
      <c r="BC47" s="177"/>
      <c r="BD47" s="175" t="str">
        <f t="shared" si="58"/>
        <v>км 0+000 - км 0+000</v>
      </c>
      <c r="BE47" s="181">
        <f t="shared" si="59"/>
        <v>0.5</v>
      </c>
      <c r="BF47" s="182" t="e">
        <f t="shared" ca="1" si="49"/>
        <v>#N/A</v>
      </c>
    </row>
    <row r="48" spans="1:58" ht="16.5" x14ac:dyDescent="0.25">
      <c r="A48" s="110">
        <f t="shared" si="23"/>
        <v>0</v>
      </c>
      <c r="B48" s="110"/>
      <c r="C48" s="111">
        <f t="shared" si="22"/>
        <v>0</v>
      </c>
      <c r="D48" s="112"/>
      <c r="E48" s="113"/>
      <c r="F48" s="113"/>
      <c r="G48" s="113"/>
      <c r="H48" s="113"/>
      <c r="I48" s="113"/>
      <c r="J48" s="113"/>
      <c r="K48" s="113"/>
      <c r="L48" s="113"/>
      <c r="M48" s="114"/>
      <c r="N48" s="147" t="str">
        <f>IFERROR(VLOOKUP($F48,Лист1!$A$4:$F$72,2,FALSE),"")</f>
        <v/>
      </c>
      <c r="O48" s="147" t="str">
        <f>IFERROR(VLOOKUP($G48,Лист1!$A$4:$F$72,2,FALSE),"")</f>
        <v/>
      </c>
      <c r="P48" s="115" t="str">
        <f>IFERROR(VLOOKUP($H48,Лист1!$A$4:$F$72,2,FALSE),"")</f>
        <v/>
      </c>
      <c r="Q48" s="115" t="str">
        <f>IFERROR(VLOOKUP($I48,Лист1!$A$4:$F$72,2,FALSE),"")</f>
        <v/>
      </c>
      <c r="R48" s="115" t="str">
        <f>IFERROR(VLOOKUP($J48,Лист1!$A$4:$F$72,2,FALSE),"")</f>
        <v/>
      </c>
      <c r="S48" s="115" t="str">
        <f>IFERROR(VLOOKUP($K48,Лист1!$A$4:$F$72,2,FALSE),"")</f>
        <v/>
      </c>
      <c r="T48" s="115" t="str">
        <f>IFERROR(VLOOKUP($L48,Лист1!$A$4:$F$72,2,FALSE),"")</f>
        <v/>
      </c>
      <c r="U48" s="115" t="str">
        <f t="shared" si="50"/>
        <v/>
      </c>
      <c r="V48" s="148" t="str">
        <f>IFERROR(VLOOKUP($F48,Лист1!$A$4:$F$72,3,FALSE),"")</f>
        <v/>
      </c>
      <c r="W48" s="116" t="str">
        <f>IFERROR(VLOOKUP($G48,Лист1!$A$4:$F$72,3,FALSE),"")</f>
        <v/>
      </c>
      <c r="X48" s="116" t="str">
        <f>IFERROR(VLOOKUP($H48,Лист1!$A$4:$F$72,3,FALSE),"")</f>
        <v/>
      </c>
      <c r="Y48" s="116" t="str">
        <f>IFERROR(VLOOKUP($I48,Лист1!$A$4:$F$72,3,FALSE),"")</f>
        <v/>
      </c>
      <c r="Z48" s="116" t="str">
        <f>IFERROR(VLOOKUP($J48,Лист1!$A$4:$F$72,3,FALSE),"")</f>
        <v/>
      </c>
      <c r="AA48" s="116" t="str">
        <f>IFERROR(VLOOKUP($K48,Лист1!$A$4:$F$72,3,FALSE),"")</f>
        <v/>
      </c>
      <c r="AB48" s="116" t="str">
        <f>IFERROR(VLOOKUP($L48,Лист1!$A$4:$F$72,3,FALSE),"")</f>
        <v/>
      </c>
      <c r="AC48" s="116" t="str">
        <f>IFERROR(VLOOKUP($M48,Лист1!$A$4:$F$72,3,FALSE),"")</f>
        <v/>
      </c>
      <c r="AD48" s="152">
        <f t="shared" si="35"/>
        <v>0</v>
      </c>
      <c r="AE48" s="118">
        <f t="shared" si="36"/>
        <v>0</v>
      </c>
      <c r="AF48" s="119">
        <f t="shared" si="37"/>
        <v>0</v>
      </c>
      <c r="AG48" s="119">
        <f t="shared" si="38"/>
        <v>0</v>
      </c>
      <c r="AH48" s="119">
        <f t="shared" si="39"/>
        <v>0</v>
      </c>
      <c r="AI48" s="121">
        <f t="shared" si="40"/>
        <v>0</v>
      </c>
      <c r="AJ48" s="121" t="str">
        <f t="shared" si="51"/>
        <v>000</v>
      </c>
      <c r="AK48" s="121" t="str">
        <f t="shared" si="52"/>
        <v>000</v>
      </c>
      <c r="AL48" s="122"/>
      <c r="AM48" s="123" t="str">
        <f t="shared" si="41"/>
        <v>км 0+000 - км 0+000</v>
      </c>
      <c r="AN48" s="124" t="str">
        <f t="shared" si="53"/>
        <v/>
      </c>
      <c r="AO48" s="153" t="e">
        <f t="shared" si="54"/>
        <v>#VALUE!</v>
      </c>
      <c r="AP48" s="125">
        <f t="shared" si="42"/>
        <v>0</v>
      </c>
      <c r="AQ48" s="120">
        <f t="shared" si="43"/>
        <v>0</v>
      </c>
      <c r="AR48" s="126"/>
      <c r="AS48" s="127">
        <f t="shared" si="44"/>
        <v>0</v>
      </c>
      <c r="AT48" s="127">
        <f t="shared" si="45"/>
        <v>0</v>
      </c>
      <c r="AU48" s="128">
        <f t="shared" si="46"/>
        <v>0</v>
      </c>
      <c r="AV48" s="129">
        <f t="shared" si="47"/>
        <v>0</v>
      </c>
      <c r="AW48" s="129" t="str">
        <f t="shared" si="48"/>
        <v>-</v>
      </c>
      <c r="AX48" s="130"/>
      <c r="AY48" s="127" t="str">
        <f t="shared" si="55"/>
        <v>км 0+000 - км 0+000</v>
      </c>
      <c r="AZ48" s="129" t="str">
        <f t="shared" si="56"/>
        <v>-</v>
      </c>
      <c r="BA48" s="131">
        <f t="shared" si="57"/>
        <v>0.5</v>
      </c>
      <c r="BB48" s="130"/>
      <c r="BC48" s="130"/>
      <c r="BD48" s="128" t="str">
        <f t="shared" si="58"/>
        <v>км 0+000 - км 0+000</v>
      </c>
      <c r="BE48" s="131">
        <f t="shared" si="59"/>
        <v>0.5</v>
      </c>
      <c r="BF48" s="154" t="e">
        <f t="shared" ca="1" si="49"/>
        <v>#N/A</v>
      </c>
    </row>
    <row r="49" spans="1:58" ht="16.5" x14ac:dyDescent="0.25">
      <c r="A49" s="110">
        <f t="shared" si="23"/>
        <v>0</v>
      </c>
      <c r="B49" s="110"/>
      <c r="C49" s="111">
        <f t="shared" si="22"/>
        <v>0</v>
      </c>
      <c r="D49" s="155"/>
      <c r="E49" s="156"/>
      <c r="F49" s="156"/>
      <c r="G49" s="157"/>
      <c r="H49" s="157"/>
      <c r="I49" s="157"/>
      <c r="J49" s="157"/>
      <c r="K49" s="157"/>
      <c r="L49" s="157"/>
      <c r="M49" s="158"/>
      <c r="N49" s="159" t="str">
        <f>IFERROR(VLOOKUP($F49,Лист1!$A$4:$F$72,2,FALSE),"")</f>
        <v/>
      </c>
      <c r="O49" s="159" t="str">
        <f>IFERROR(VLOOKUP($G49,Лист1!$A$4:$F$72,2,FALSE),"")</f>
        <v/>
      </c>
      <c r="P49" s="160" t="str">
        <f>IFERROR(VLOOKUP($H49,Лист1!$A$4:$F$72,2,FALSE),"")</f>
        <v/>
      </c>
      <c r="Q49" s="160" t="str">
        <f>IFERROR(VLOOKUP($I49,Лист1!$A$4:$F$72,2,FALSE),"")</f>
        <v/>
      </c>
      <c r="R49" s="160" t="str">
        <f>IFERROR(VLOOKUP($J49,Лист1!$A$4:$F$72,2,FALSE),"")</f>
        <v/>
      </c>
      <c r="S49" s="160" t="str">
        <f>IFERROR(VLOOKUP($K49,Лист1!$A$4:$F$72,2,FALSE),"")</f>
        <v/>
      </c>
      <c r="T49" s="160" t="str">
        <f>IFERROR(VLOOKUP($L49,Лист1!$A$4:$F$72,2,FALSE),"")</f>
        <v/>
      </c>
      <c r="U49" s="160" t="str">
        <f t="shared" si="50"/>
        <v/>
      </c>
      <c r="V49" s="161" t="str">
        <f>IFERROR(VLOOKUP($F49,Лист1!$A$4:$F$72,3,FALSE),"")</f>
        <v/>
      </c>
      <c r="W49" s="162" t="str">
        <f>IFERROR(VLOOKUP($G49,Лист1!$A$4:$F$72,3,FALSE),"")</f>
        <v/>
      </c>
      <c r="X49" s="162" t="str">
        <f>IFERROR(VLOOKUP($H49,Лист1!$A$4:$F$72,3,FALSE),"")</f>
        <v/>
      </c>
      <c r="Y49" s="162" t="str">
        <f>IFERROR(VLOOKUP($I49,Лист1!$A$4:$F$72,3,FALSE),"")</f>
        <v/>
      </c>
      <c r="Z49" s="162" t="str">
        <f>IFERROR(VLOOKUP($J49,Лист1!$A$4:$F$72,3,FALSE),"")</f>
        <v/>
      </c>
      <c r="AA49" s="162" t="str">
        <f>IFERROR(VLOOKUP($K49,Лист1!$A$4:$F$72,3,FALSE),"")</f>
        <v/>
      </c>
      <c r="AB49" s="162" t="str">
        <f>IFERROR(VLOOKUP($L49,Лист1!$A$4:$F$72,3,FALSE),"")</f>
        <v/>
      </c>
      <c r="AC49" s="162" t="str">
        <f>IFERROR(VLOOKUP($M49,Лист1!$A$4:$F$72,3,FALSE),"")</f>
        <v/>
      </c>
      <c r="AD49" s="163">
        <f t="shared" si="35"/>
        <v>0</v>
      </c>
      <c r="AE49" s="164">
        <f t="shared" si="36"/>
        <v>0</v>
      </c>
      <c r="AF49" s="165">
        <f t="shared" si="37"/>
        <v>0</v>
      </c>
      <c r="AG49" s="165">
        <f t="shared" si="38"/>
        <v>0</v>
      </c>
      <c r="AH49" s="165">
        <f t="shared" si="39"/>
        <v>0</v>
      </c>
      <c r="AI49" s="166">
        <f t="shared" si="40"/>
        <v>0</v>
      </c>
      <c r="AJ49" s="166" t="str">
        <f t="shared" si="51"/>
        <v>000</v>
      </c>
      <c r="AK49" s="166" t="str">
        <f t="shared" si="52"/>
        <v>000</v>
      </c>
      <c r="AL49" s="167"/>
      <c r="AM49" s="168" t="str">
        <f t="shared" si="41"/>
        <v>км 0+000 - км 0+000</v>
      </c>
      <c r="AN49" s="169" t="str">
        <f t="shared" si="53"/>
        <v/>
      </c>
      <c r="AO49" s="170" t="e">
        <f t="shared" si="54"/>
        <v>#VALUE!</v>
      </c>
      <c r="AP49" s="171">
        <f t="shared" si="42"/>
        <v>0</v>
      </c>
      <c r="AQ49" s="172">
        <f t="shared" si="43"/>
        <v>0</v>
      </c>
      <c r="AR49" s="173"/>
      <c r="AS49" s="174">
        <f t="shared" si="44"/>
        <v>0</v>
      </c>
      <c r="AT49" s="174">
        <f t="shared" si="45"/>
        <v>0</v>
      </c>
      <c r="AU49" s="175">
        <f t="shared" si="46"/>
        <v>0</v>
      </c>
      <c r="AV49" s="176">
        <f t="shared" si="47"/>
        <v>0</v>
      </c>
      <c r="AW49" s="176" t="str">
        <f t="shared" si="48"/>
        <v>-</v>
      </c>
      <c r="AX49" s="177"/>
      <c r="AY49" s="178" t="str">
        <f t="shared" si="55"/>
        <v>км 0+000 - км 0+000</v>
      </c>
      <c r="AZ49" s="179" t="str">
        <f t="shared" si="56"/>
        <v>-</v>
      </c>
      <c r="BA49" s="180">
        <f t="shared" si="57"/>
        <v>0.5</v>
      </c>
      <c r="BB49" s="177"/>
      <c r="BC49" s="177"/>
      <c r="BD49" s="175" t="str">
        <f t="shared" si="58"/>
        <v>км 0+000 - км 0+000</v>
      </c>
      <c r="BE49" s="181">
        <f t="shared" si="59"/>
        <v>0.5</v>
      </c>
      <c r="BF49" s="182" t="e">
        <f t="shared" ca="1" si="49"/>
        <v>#N/A</v>
      </c>
    </row>
    <row r="50" spans="1:58" ht="16.5" x14ac:dyDescent="0.25">
      <c r="A50" s="110">
        <f t="shared" si="23"/>
        <v>0</v>
      </c>
      <c r="B50" s="110"/>
      <c r="C50" s="111">
        <f t="shared" si="22"/>
        <v>0</v>
      </c>
      <c r="D50" s="112"/>
      <c r="E50" s="113"/>
      <c r="F50" s="113"/>
      <c r="G50" s="113"/>
      <c r="H50" s="113"/>
      <c r="I50" s="113"/>
      <c r="J50" s="113"/>
      <c r="K50" s="113"/>
      <c r="L50" s="113"/>
      <c r="M50" s="114"/>
      <c r="N50" s="147" t="str">
        <f>IFERROR(VLOOKUP($F50,Лист1!$A$4:$F$72,2,FALSE),"")</f>
        <v/>
      </c>
      <c r="O50" s="147" t="str">
        <f>IFERROR(VLOOKUP($G50,Лист1!$A$4:$F$72,2,FALSE),"")</f>
        <v/>
      </c>
      <c r="P50" s="115" t="str">
        <f>IFERROR(VLOOKUP($H50,Лист1!$A$4:$F$72,2,FALSE),"")</f>
        <v/>
      </c>
      <c r="Q50" s="115" t="str">
        <f>IFERROR(VLOOKUP($I50,Лист1!$A$4:$F$72,2,FALSE),"")</f>
        <v/>
      </c>
      <c r="R50" s="115" t="str">
        <f>IFERROR(VLOOKUP($J50,Лист1!$A$4:$F$72,2,FALSE),"")</f>
        <v/>
      </c>
      <c r="S50" s="115" t="str">
        <f>IFERROR(VLOOKUP($K50,Лист1!$A$4:$F$72,2,FALSE),"")</f>
        <v/>
      </c>
      <c r="T50" s="115" t="str">
        <f>IFERROR(VLOOKUP($L50,Лист1!$A$4:$F$72,2,FALSE),"")</f>
        <v/>
      </c>
      <c r="U50" s="115" t="str">
        <f t="shared" si="50"/>
        <v/>
      </c>
      <c r="V50" s="148" t="str">
        <f>IFERROR(VLOOKUP($F50,Лист1!$A$4:$F$72,3,FALSE),"")</f>
        <v/>
      </c>
      <c r="W50" s="116" t="str">
        <f>IFERROR(VLOOKUP($G50,Лист1!$A$4:$F$72,3,FALSE),"")</f>
        <v/>
      </c>
      <c r="X50" s="116" t="str">
        <f>IFERROR(VLOOKUP($H50,Лист1!$A$4:$F$72,3,FALSE),"")</f>
        <v/>
      </c>
      <c r="Y50" s="116" t="str">
        <f>IFERROR(VLOOKUP($I50,Лист1!$A$4:$F$72,3,FALSE),"")</f>
        <v/>
      </c>
      <c r="Z50" s="116" t="str">
        <f>IFERROR(VLOOKUP($J50,Лист1!$A$4:$F$72,3,FALSE),"")</f>
        <v/>
      </c>
      <c r="AA50" s="116" t="str">
        <f>IFERROR(VLOOKUP($K50,Лист1!$A$4:$F$72,3,FALSE),"")</f>
        <v/>
      </c>
      <c r="AB50" s="116" t="str">
        <f>IFERROR(VLOOKUP($L50,Лист1!$A$4:$F$72,3,FALSE),"")</f>
        <v/>
      </c>
      <c r="AC50" s="116" t="str">
        <f>IFERROR(VLOOKUP($M50,Лист1!$A$4:$F$72,3,FALSE),"")</f>
        <v/>
      </c>
      <c r="AD50" s="152">
        <f t="shared" si="35"/>
        <v>0</v>
      </c>
      <c r="AE50" s="118">
        <f t="shared" si="36"/>
        <v>0</v>
      </c>
      <c r="AF50" s="119">
        <f t="shared" si="37"/>
        <v>0</v>
      </c>
      <c r="AG50" s="119">
        <f t="shared" si="38"/>
        <v>0</v>
      </c>
      <c r="AH50" s="119">
        <f t="shared" si="39"/>
        <v>0</v>
      </c>
      <c r="AI50" s="121">
        <f t="shared" si="40"/>
        <v>0</v>
      </c>
      <c r="AJ50" s="121" t="str">
        <f t="shared" si="51"/>
        <v>000</v>
      </c>
      <c r="AK50" s="121" t="str">
        <f t="shared" si="52"/>
        <v>000</v>
      </c>
      <c r="AL50" s="122"/>
      <c r="AM50" s="123" t="str">
        <f t="shared" si="41"/>
        <v>км 0+000 - км 0+000</v>
      </c>
      <c r="AN50" s="124" t="str">
        <f t="shared" si="53"/>
        <v/>
      </c>
      <c r="AO50" s="153" t="e">
        <f t="shared" si="54"/>
        <v>#VALUE!</v>
      </c>
      <c r="AP50" s="125">
        <f t="shared" si="42"/>
        <v>0</v>
      </c>
      <c r="AQ50" s="120">
        <f t="shared" si="43"/>
        <v>0</v>
      </c>
      <c r="AR50" s="126"/>
      <c r="AS50" s="127">
        <f t="shared" si="44"/>
        <v>0</v>
      </c>
      <c r="AT50" s="127">
        <f t="shared" si="45"/>
        <v>0</v>
      </c>
      <c r="AU50" s="128">
        <f t="shared" si="46"/>
        <v>0</v>
      </c>
      <c r="AV50" s="129">
        <f t="shared" si="47"/>
        <v>0</v>
      </c>
      <c r="AW50" s="129" t="str">
        <f t="shared" si="48"/>
        <v>-</v>
      </c>
      <c r="AX50" s="130"/>
      <c r="AY50" s="127" t="str">
        <f t="shared" si="55"/>
        <v>км 0+000 - км 0+000</v>
      </c>
      <c r="AZ50" s="129" t="str">
        <f t="shared" si="56"/>
        <v>-</v>
      </c>
      <c r="BA50" s="131">
        <f t="shared" si="57"/>
        <v>0.5</v>
      </c>
      <c r="BB50" s="130"/>
      <c r="BC50" s="130"/>
      <c r="BD50" s="128" t="str">
        <f t="shared" si="58"/>
        <v>км 0+000 - км 0+000</v>
      </c>
      <c r="BE50" s="131">
        <f t="shared" si="59"/>
        <v>0.5</v>
      </c>
      <c r="BF50" s="154" t="e">
        <f t="shared" ca="1" si="49"/>
        <v>#N/A</v>
      </c>
    </row>
    <row r="51" spans="1:58" ht="16.5" x14ac:dyDescent="0.25">
      <c r="A51" s="110">
        <f t="shared" si="23"/>
        <v>0</v>
      </c>
      <c r="B51" s="110"/>
      <c r="C51" s="111">
        <f t="shared" si="22"/>
        <v>0</v>
      </c>
      <c r="D51" s="155"/>
      <c r="E51" s="156"/>
      <c r="F51" s="156"/>
      <c r="G51" s="157"/>
      <c r="H51" s="157"/>
      <c r="I51" s="157"/>
      <c r="J51" s="157"/>
      <c r="K51" s="157"/>
      <c r="L51" s="157"/>
      <c r="M51" s="158"/>
      <c r="N51" s="159" t="str">
        <f>IFERROR(VLOOKUP($F51,Лист1!$A$4:$F$72,2,FALSE),"")</f>
        <v/>
      </c>
      <c r="O51" s="159" t="str">
        <f>IFERROR(VLOOKUP($G51,Лист1!$A$4:$F$72,2,FALSE),"")</f>
        <v/>
      </c>
      <c r="P51" s="160" t="str">
        <f>IFERROR(VLOOKUP($H51,Лист1!$A$4:$F$72,2,FALSE),"")</f>
        <v/>
      </c>
      <c r="Q51" s="160" t="str">
        <f>IFERROR(VLOOKUP($I51,Лист1!$A$4:$F$72,2,FALSE),"")</f>
        <v/>
      </c>
      <c r="R51" s="160" t="str">
        <f>IFERROR(VLOOKUP($J51,Лист1!$A$4:$F$72,2,FALSE),"")</f>
        <v/>
      </c>
      <c r="S51" s="160" t="str">
        <f>IFERROR(VLOOKUP($K51,Лист1!$A$4:$F$72,2,FALSE),"")</f>
        <v/>
      </c>
      <c r="T51" s="160" t="str">
        <f>IFERROR(VLOOKUP($L51,Лист1!$A$4:$F$72,2,FALSE),"")</f>
        <v/>
      </c>
      <c r="U51" s="160" t="str">
        <f t="shared" si="50"/>
        <v/>
      </c>
      <c r="V51" s="161" t="str">
        <f>IFERROR(VLOOKUP($F51,Лист1!$A$4:$F$72,3,FALSE),"")</f>
        <v/>
      </c>
      <c r="W51" s="162" t="str">
        <f>IFERROR(VLOOKUP($G51,Лист1!$A$4:$F$72,3,FALSE),"")</f>
        <v/>
      </c>
      <c r="X51" s="162" t="str">
        <f>IFERROR(VLOOKUP($H51,Лист1!$A$4:$F$72,3,FALSE),"")</f>
        <v/>
      </c>
      <c r="Y51" s="162" t="str">
        <f>IFERROR(VLOOKUP($I51,Лист1!$A$4:$F$72,3,FALSE),"")</f>
        <v/>
      </c>
      <c r="Z51" s="162" t="str">
        <f>IFERROR(VLOOKUP($J51,Лист1!$A$4:$F$72,3,FALSE),"")</f>
        <v/>
      </c>
      <c r="AA51" s="162" t="str">
        <f>IFERROR(VLOOKUP($K51,Лист1!$A$4:$F$72,3,FALSE),"")</f>
        <v/>
      </c>
      <c r="AB51" s="162" t="str">
        <f>IFERROR(VLOOKUP($L51,Лист1!$A$4:$F$72,3,FALSE),"")</f>
        <v/>
      </c>
      <c r="AC51" s="162" t="str">
        <f>IFERROR(VLOOKUP($M51,Лист1!$A$4:$F$72,3,FALSE),"")</f>
        <v/>
      </c>
      <c r="AD51" s="163">
        <f t="shared" si="35"/>
        <v>0</v>
      </c>
      <c r="AE51" s="164">
        <f t="shared" si="36"/>
        <v>0</v>
      </c>
      <c r="AF51" s="165">
        <f t="shared" si="37"/>
        <v>0</v>
      </c>
      <c r="AG51" s="165">
        <f t="shared" si="38"/>
        <v>0</v>
      </c>
      <c r="AH51" s="165">
        <f t="shared" si="39"/>
        <v>0</v>
      </c>
      <c r="AI51" s="166">
        <f t="shared" si="40"/>
        <v>0</v>
      </c>
      <c r="AJ51" s="166" t="str">
        <f t="shared" si="51"/>
        <v>000</v>
      </c>
      <c r="AK51" s="166" t="str">
        <f t="shared" si="52"/>
        <v>000</v>
      </c>
      <c r="AL51" s="167"/>
      <c r="AM51" s="168" t="str">
        <f t="shared" si="41"/>
        <v>км 0+000 - км 0+000</v>
      </c>
      <c r="AN51" s="169" t="str">
        <f t="shared" si="53"/>
        <v/>
      </c>
      <c r="AO51" s="170" t="e">
        <f t="shared" si="54"/>
        <v>#VALUE!</v>
      </c>
      <c r="AP51" s="171">
        <f t="shared" si="42"/>
        <v>0</v>
      </c>
      <c r="AQ51" s="172">
        <f t="shared" si="43"/>
        <v>0</v>
      </c>
      <c r="AR51" s="173"/>
      <c r="AS51" s="174">
        <f t="shared" si="44"/>
        <v>0</v>
      </c>
      <c r="AT51" s="174">
        <f t="shared" si="45"/>
        <v>0</v>
      </c>
      <c r="AU51" s="175">
        <f t="shared" si="46"/>
        <v>0</v>
      </c>
      <c r="AV51" s="176">
        <f t="shared" si="47"/>
        <v>0</v>
      </c>
      <c r="AW51" s="176" t="str">
        <f t="shared" si="48"/>
        <v>-</v>
      </c>
      <c r="AX51" s="177"/>
      <c r="AY51" s="178" t="str">
        <f t="shared" si="55"/>
        <v>км 0+000 - км 0+000</v>
      </c>
      <c r="AZ51" s="179" t="str">
        <f t="shared" si="56"/>
        <v>-</v>
      </c>
      <c r="BA51" s="180">
        <f t="shared" si="57"/>
        <v>0.5</v>
      </c>
      <c r="BB51" s="177"/>
      <c r="BC51" s="177"/>
      <c r="BD51" s="175" t="str">
        <f t="shared" si="58"/>
        <v>км 0+000 - км 0+000</v>
      </c>
      <c r="BE51" s="181">
        <f t="shared" si="59"/>
        <v>0.5</v>
      </c>
      <c r="BF51" s="182" t="e">
        <f t="shared" ca="1" si="49"/>
        <v>#N/A</v>
      </c>
    </row>
    <row r="52" spans="1:58" ht="16.5" x14ac:dyDescent="0.25">
      <c r="A52" s="110">
        <f t="shared" si="23"/>
        <v>0</v>
      </c>
      <c r="B52" s="110"/>
      <c r="C52" s="111">
        <f t="shared" si="22"/>
        <v>0</v>
      </c>
      <c r="D52" s="112"/>
      <c r="E52" s="113"/>
      <c r="F52" s="113"/>
      <c r="G52" s="113"/>
      <c r="H52" s="113"/>
      <c r="I52" s="113"/>
      <c r="J52" s="113"/>
      <c r="K52" s="113"/>
      <c r="L52" s="113"/>
      <c r="M52" s="114"/>
      <c r="N52" s="147" t="str">
        <f>IFERROR(VLOOKUP($F52,Лист1!$A$4:$F$72,2,FALSE),"")</f>
        <v/>
      </c>
      <c r="O52" s="147" t="str">
        <f>IFERROR(VLOOKUP($G52,Лист1!$A$4:$F$72,2,FALSE),"")</f>
        <v/>
      </c>
      <c r="P52" s="115" t="str">
        <f>IFERROR(VLOOKUP($H52,Лист1!$A$4:$F$72,2,FALSE),"")</f>
        <v/>
      </c>
      <c r="Q52" s="115" t="str">
        <f>IFERROR(VLOOKUP($I52,Лист1!$A$4:$F$72,2,FALSE),"")</f>
        <v/>
      </c>
      <c r="R52" s="115" t="str">
        <f>IFERROR(VLOOKUP($J52,Лист1!$A$4:$F$72,2,FALSE),"")</f>
        <v/>
      </c>
      <c r="S52" s="115" t="str">
        <f>IFERROR(VLOOKUP($K52,Лист1!$A$4:$F$72,2,FALSE),"")</f>
        <v/>
      </c>
      <c r="T52" s="115" t="str">
        <f>IFERROR(VLOOKUP($L52,Лист1!$A$4:$F$72,2,FALSE),"")</f>
        <v/>
      </c>
      <c r="U52" s="115" t="str">
        <f t="shared" si="50"/>
        <v/>
      </c>
      <c r="V52" s="148" t="str">
        <f>IFERROR(VLOOKUP($F52,Лист1!$A$4:$F$72,3,FALSE),"")</f>
        <v/>
      </c>
      <c r="W52" s="116" t="str">
        <f>IFERROR(VLOOKUP($G52,Лист1!$A$4:$F$72,3,FALSE),"")</f>
        <v/>
      </c>
      <c r="X52" s="116" t="str">
        <f>IFERROR(VLOOKUP($H52,Лист1!$A$4:$F$72,3,FALSE),"")</f>
        <v/>
      </c>
      <c r="Y52" s="116" t="str">
        <f>IFERROR(VLOOKUP($I52,Лист1!$A$4:$F$72,3,FALSE),"")</f>
        <v/>
      </c>
      <c r="Z52" s="116" t="str">
        <f>IFERROR(VLOOKUP($J52,Лист1!$A$4:$F$72,3,FALSE),"")</f>
        <v/>
      </c>
      <c r="AA52" s="116" t="str">
        <f>IFERROR(VLOOKUP($K52,Лист1!$A$4:$F$72,3,FALSE),"")</f>
        <v/>
      </c>
      <c r="AB52" s="116" t="str">
        <f>IFERROR(VLOOKUP($L52,Лист1!$A$4:$F$72,3,FALSE),"")</f>
        <v/>
      </c>
      <c r="AC52" s="116" t="str">
        <f>IFERROR(VLOOKUP($M52,Лист1!$A$4:$F$72,3,FALSE),"")</f>
        <v/>
      </c>
      <c r="AD52" s="152">
        <f t="shared" si="35"/>
        <v>0</v>
      </c>
      <c r="AE52" s="118">
        <f t="shared" si="36"/>
        <v>0</v>
      </c>
      <c r="AF52" s="119">
        <f t="shared" si="37"/>
        <v>0</v>
      </c>
      <c r="AG52" s="119">
        <f t="shared" si="38"/>
        <v>0</v>
      </c>
      <c r="AH52" s="119">
        <f t="shared" si="39"/>
        <v>0</v>
      </c>
      <c r="AI52" s="121">
        <f t="shared" si="40"/>
        <v>0</v>
      </c>
      <c r="AJ52" s="121" t="str">
        <f t="shared" si="51"/>
        <v>000</v>
      </c>
      <c r="AK52" s="121" t="str">
        <f t="shared" si="52"/>
        <v>000</v>
      </c>
      <c r="AL52" s="122"/>
      <c r="AM52" s="123" t="str">
        <f t="shared" si="41"/>
        <v>км 0+000 - км 0+000</v>
      </c>
      <c r="AN52" s="124" t="str">
        <f t="shared" si="53"/>
        <v/>
      </c>
      <c r="AO52" s="153" t="e">
        <f t="shared" si="54"/>
        <v>#VALUE!</v>
      </c>
      <c r="AP52" s="125">
        <f t="shared" si="42"/>
        <v>0</v>
      </c>
      <c r="AQ52" s="120">
        <f t="shared" si="43"/>
        <v>0</v>
      </c>
      <c r="AR52" s="126"/>
      <c r="AS52" s="127">
        <f t="shared" si="44"/>
        <v>0</v>
      </c>
      <c r="AT52" s="127">
        <f t="shared" si="45"/>
        <v>0</v>
      </c>
      <c r="AU52" s="128">
        <f t="shared" si="46"/>
        <v>0</v>
      </c>
      <c r="AV52" s="129">
        <f t="shared" si="47"/>
        <v>0</v>
      </c>
      <c r="AW52" s="129" t="str">
        <f t="shared" si="48"/>
        <v>-</v>
      </c>
      <c r="AX52" s="130"/>
      <c r="AY52" s="127" t="str">
        <f t="shared" si="55"/>
        <v>км 0+000 - км 0+000</v>
      </c>
      <c r="AZ52" s="129" t="str">
        <f t="shared" si="56"/>
        <v>-</v>
      </c>
      <c r="BA52" s="131">
        <f t="shared" si="57"/>
        <v>0.5</v>
      </c>
      <c r="BB52" s="130"/>
      <c r="BC52" s="130"/>
      <c r="BD52" s="128" t="str">
        <f t="shared" si="58"/>
        <v>км 0+000 - км 0+000</v>
      </c>
      <c r="BE52" s="131">
        <f t="shared" si="59"/>
        <v>0.5</v>
      </c>
      <c r="BF52" s="154" t="e">
        <f t="shared" ca="1" si="49"/>
        <v>#N/A</v>
      </c>
    </row>
    <row r="53" spans="1:58" ht="16.5" x14ac:dyDescent="0.25">
      <c r="A53" s="110">
        <f t="shared" si="23"/>
        <v>0</v>
      </c>
      <c r="B53" s="110"/>
      <c r="C53" s="111">
        <f t="shared" si="22"/>
        <v>0</v>
      </c>
      <c r="D53" s="155"/>
      <c r="E53" s="156"/>
      <c r="F53" s="156"/>
      <c r="G53" s="157"/>
      <c r="H53" s="157"/>
      <c r="I53" s="157"/>
      <c r="J53" s="157"/>
      <c r="K53" s="157"/>
      <c r="L53" s="157"/>
      <c r="M53" s="158"/>
      <c r="N53" s="159" t="str">
        <f>IFERROR(VLOOKUP($F53,Лист1!$A$4:$F$72,2,FALSE),"")</f>
        <v/>
      </c>
      <c r="O53" s="159" t="str">
        <f>IFERROR(VLOOKUP($G53,Лист1!$A$4:$F$72,2,FALSE),"")</f>
        <v/>
      </c>
      <c r="P53" s="160" t="str">
        <f>IFERROR(VLOOKUP($H53,Лист1!$A$4:$F$72,2,FALSE),"")</f>
        <v/>
      </c>
      <c r="Q53" s="160" t="str">
        <f>IFERROR(VLOOKUP($I53,Лист1!$A$4:$F$72,2,FALSE),"")</f>
        <v/>
      </c>
      <c r="R53" s="160" t="str">
        <f>IFERROR(VLOOKUP($J53,Лист1!$A$4:$F$72,2,FALSE),"")</f>
        <v/>
      </c>
      <c r="S53" s="160" t="str">
        <f>IFERROR(VLOOKUP($K53,Лист1!$A$4:$F$72,2,FALSE),"")</f>
        <v/>
      </c>
      <c r="T53" s="160" t="str">
        <f>IFERROR(VLOOKUP($L53,Лист1!$A$4:$F$72,2,FALSE),"")</f>
        <v/>
      </c>
      <c r="U53" s="160" t="str">
        <f t="shared" si="50"/>
        <v/>
      </c>
      <c r="V53" s="161" t="str">
        <f>IFERROR(VLOOKUP($F53,Лист1!$A$4:$F$72,3,FALSE),"")</f>
        <v/>
      </c>
      <c r="W53" s="162" t="str">
        <f>IFERROR(VLOOKUP($G53,Лист1!$A$4:$F$72,3,FALSE),"")</f>
        <v/>
      </c>
      <c r="X53" s="162" t="str">
        <f>IFERROR(VLOOKUP($H53,Лист1!$A$4:$F$72,3,FALSE),"")</f>
        <v/>
      </c>
      <c r="Y53" s="162" t="str">
        <f>IFERROR(VLOOKUP($I53,Лист1!$A$4:$F$72,3,FALSE),"")</f>
        <v/>
      </c>
      <c r="Z53" s="162" t="str">
        <f>IFERROR(VLOOKUP($J53,Лист1!$A$4:$F$72,3,FALSE),"")</f>
        <v/>
      </c>
      <c r="AA53" s="162" t="str">
        <f>IFERROR(VLOOKUP($K53,Лист1!$A$4:$F$72,3,FALSE),"")</f>
        <v/>
      </c>
      <c r="AB53" s="162" t="str">
        <f>IFERROR(VLOOKUP($L53,Лист1!$A$4:$F$72,3,FALSE),"")</f>
        <v/>
      </c>
      <c r="AC53" s="162" t="str">
        <f>IFERROR(VLOOKUP($M53,Лист1!$A$4:$F$72,3,FALSE),"")</f>
        <v/>
      </c>
      <c r="AD53" s="163">
        <f t="shared" si="35"/>
        <v>0</v>
      </c>
      <c r="AE53" s="164">
        <f t="shared" si="36"/>
        <v>0</v>
      </c>
      <c r="AF53" s="165">
        <f t="shared" si="37"/>
        <v>0</v>
      </c>
      <c r="AG53" s="165">
        <f t="shared" si="38"/>
        <v>0</v>
      </c>
      <c r="AH53" s="165">
        <f t="shared" si="39"/>
        <v>0</v>
      </c>
      <c r="AI53" s="166">
        <f t="shared" si="40"/>
        <v>0</v>
      </c>
      <c r="AJ53" s="166" t="str">
        <f t="shared" si="51"/>
        <v>000</v>
      </c>
      <c r="AK53" s="166" t="str">
        <f t="shared" si="52"/>
        <v>000</v>
      </c>
      <c r="AL53" s="167"/>
      <c r="AM53" s="168" t="str">
        <f t="shared" si="41"/>
        <v>км 0+000 - км 0+000</v>
      </c>
      <c r="AN53" s="169" t="str">
        <f t="shared" si="53"/>
        <v/>
      </c>
      <c r="AO53" s="170" t="e">
        <f t="shared" si="54"/>
        <v>#VALUE!</v>
      </c>
      <c r="AP53" s="171">
        <f t="shared" si="42"/>
        <v>0</v>
      </c>
      <c r="AQ53" s="172">
        <f t="shared" si="43"/>
        <v>0</v>
      </c>
      <c r="AR53" s="173"/>
      <c r="AS53" s="174">
        <f t="shared" si="44"/>
        <v>0</v>
      </c>
      <c r="AT53" s="174">
        <f t="shared" si="45"/>
        <v>0</v>
      </c>
      <c r="AU53" s="175">
        <f t="shared" si="46"/>
        <v>0</v>
      </c>
      <c r="AV53" s="176">
        <f t="shared" si="47"/>
        <v>0</v>
      </c>
      <c r="AW53" s="176" t="str">
        <f t="shared" si="48"/>
        <v>-</v>
      </c>
      <c r="AX53" s="177"/>
      <c r="AY53" s="178" t="str">
        <f t="shared" si="55"/>
        <v>км 0+000 - км 0+000</v>
      </c>
      <c r="AZ53" s="179" t="str">
        <f t="shared" si="56"/>
        <v>-</v>
      </c>
      <c r="BA53" s="180">
        <f t="shared" si="57"/>
        <v>0.5</v>
      </c>
      <c r="BB53" s="177"/>
      <c r="BC53" s="177"/>
      <c r="BD53" s="175" t="str">
        <f t="shared" si="58"/>
        <v>км 0+000 - км 0+000</v>
      </c>
      <c r="BE53" s="181">
        <f t="shared" si="59"/>
        <v>0.5</v>
      </c>
      <c r="BF53" s="182" t="e">
        <f t="shared" ca="1" si="49"/>
        <v>#N/A</v>
      </c>
    </row>
    <row r="54" spans="1:58" ht="16.5" x14ac:dyDescent="0.25">
      <c r="A54" s="110">
        <f t="shared" si="23"/>
        <v>0</v>
      </c>
      <c r="B54" s="110"/>
      <c r="C54" s="111">
        <f t="shared" si="22"/>
        <v>0</v>
      </c>
      <c r="D54" s="112"/>
      <c r="E54" s="113"/>
      <c r="F54" s="113"/>
      <c r="G54" s="113"/>
      <c r="H54" s="113"/>
      <c r="I54" s="113"/>
      <c r="J54" s="113"/>
      <c r="K54" s="113"/>
      <c r="L54" s="113"/>
      <c r="M54" s="114"/>
      <c r="N54" s="147" t="str">
        <f>IFERROR(VLOOKUP($F54,Лист1!$A$4:$F$72,2,FALSE),"")</f>
        <v/>
      </c>
      <c r="O54" s="147" t="str">
        <f>IFERROR(VLOOKUP($G54,Лист1!$A$4:$F$72,2,FALSE),"")</f>
        <v/>
      </c>
      <c r="P54" s="115" t="str">
        <f>IFERROR(VLOOKUP($H54,Лист1!$A$4:$F$72,2,FALSE),"")</f>
        <v/>
      </c>
      <c r="Q54" s="115" t="str">
        <f>IFERROR(VLOOKUP($I54,Лист1!$A$4:$F$72,2,FALSE),"")</f>
        <v/>
      </c>
      <c r="R54" s="115" t="str">
        <f>IFERROR(VLOOKUP($J54,Лист1!$A$4:$F$72,2,FALSE),"")</f>
        <v/>
      </c>
      <c r="S54" s="115" t="str">
        <f>IFERROR(VLOOKUP($K54,Лист1!$A$4:$F$72,2,FALSE),"")</f>
        <v/>
      </c>
      <c r="T54" s="115" t="str">
        <f>IFERROR(VLOOKUP($L54,Лист1!$A$4:$F$72,2,FALSE),"")</f>
        <v/>
      </c>
      <c r="U54" s="115" t="str">
        <f t="shared" si="50"/>
        <v/>
      </c>
      <c r="V54" s="148" t="str">
        <f>IFERROR(VLOOKUP($F54,Лист1!$A$4:$F$72,3,FALSE),"")</f>
        <v/>
      </c>
      <c r="W54" s="116" t="str">
        <f>IFERROR(VLOOKUP($G54,Лист1!$A$4:$F$72,3,FALSE),"")</f>
        <v/>
      </c>
      <c r="X54" s="116" t="str">
        <f>IFERROR(VLOOKUP($H54,Лист1!$A$4:$F$72,3,FALSE),"")</f>
        <v/>
      </c>
      <c r="Y54" s="116" t="str">
        <f>IFERROR(VLOOKUP($I54,Лист1!$A$4:$F$72,3,FALSE),"")</f>
        <v/>
      </c>
      <c r="Z54" s="116" t="str">
        <f>IFERROR(VLOOKUP($J54,Лист1!$A$4:$F$72,3,FALSE),"")</f>
        <v/>
      </c>
      <c r="AA54" s="116" t="str">
        <f>IFERROR(VLOOKUP($K54,Лист1!$A$4:$F$72,3,FALSE),"")</f>
        <v/>
      </c>
      <c r="AB54" s="116" t="str">
        <f>IFERROR(VLOOKUP($L54,Лист1!$A$4:$F$72,3,FALSE),"")</f>
        <v/>
      </c>
      <c r="AC54" s="116" t="str">
        <f>IFERROR(VLOOKUP($M54,Лист1!$A$4:$F$72,3,FALSE),"")</f>
        <v/>
      </c>
      <c r="AD54" s="152">
        <f t="shared" si="35"/>
        <v>0</v>
      </c>
      <c r="AE54" s="118">
        <f t="shared" si="36"/>
        <v>0</v>
      </c>
      <c r="AF54" s="119">
        <f t="shared" si="37"/>
        <v>0</v>
      </c>
      <c r="AG54" s="119">
        <f t="shared" si="38"/>
        <v>0</v>
      </c>
      <c r="AH54" s="119">
        <f t="shared" si="39"/>
        <v>0</v>
      </c>
      <c r="AI54" s="121">
        <f t="shared" si="40"/>
        <v>0</v>
      </c>
      <c r="AJ54" s="121" t="str">
        <f t="shared" si="51"/>
        <v>000</v>
      </c>
      <c r="AK54" s="121" t="str">
        <f t="shared" si="52"/>
        <v>000</v>
      </c>
      <c r="AL54" s="122"/>
      <c r="AM54" s="123" t="str">
        <f t="shared" si="41"/>
        <v>км 0+000 - км 0+000</v>
      </c>
      <c r="AN54" s="124" t="str">
        <f t="shared" si="53"/>
        <v/>
      </c>
      <c r="AO54" s="153" t="e">
        <f t="shared" si="54"/>
        <v>#VALUE!</v>
      </c>
      <c r="AP54" s="125">
        <f t="shared" si="42"/>
        <v>0</v>
      </c>
      <c r="AQ54" s="120">
        <f t="shared" si="43"/>
        <v>0</v>
      </c>
      <c r="AR54" s="126"/>
      <c r="AS54" s="127">
        <f t="shared" si="44"/>
        <v>0</v>
      </c>
      <c r="AT54" s="127">
        <f t="shared" si="45"/>
        <v>0</v>
      </c>
      <c r="AU54" s="128">
        <f t="shared" si="46"/>
        <v>0</v>
      </c>
      <c r="AV54" s="129">
        <f t="shared" si="47"/>
        <v>0</v>
      </c>
      <c r="AW54" s="129" t="str">
        <f t="shared" si="48"/>
        <v>-</v>
      </c>
      <c r="AX54" s="130"/>
      <c r="AY54" s="127" t="str">
        <f t="shared" si="55"/>
        <v>км 0+000 - км 0+000</v>
      </c>
      <c r="AZ54" s="129" t="str">
        <f t="shared" si="56"/>
        <v>-</v>
      </c>
      <c r="BA54" s="131">
        <f t="shared" si="57"/>
        <v>0.5</v>
      </c>
      <c r="BB54" s="130"/>
      <c r="BC54" s="130"/>
      <c r="BD54" s="128" t="str">
        <f t="shared" si="58"/>
        <v>км 0+000 - км 0+000</v>
      </c>
      <c r="BE54" s="131">
        <f t="shared" si="59"/>
        <v>0.5</v>
      </c>
      <c r="BF54" s="154" t="e">
        <f t="shared" ca="1" si="49"/>
        <v>#N/A</v>
      </c>
    </row>
    <row r="55" spans="1:58" ht="16.5" x14ac:dyDescent="0.25">
      <c r="A55" s="110">
        <f t="shared" si="23"/>
        <v>0</v>
      </c>
      <c r="B55" s="110"/>
      <c r="C55" s="111">
        <f t="shared" si="22"/>
        <v>0</v>
      </c>
      <c r="D55" s="155"/>
      <c r="E55" s="156"/>
      <c r="F55" s="156"/>
      <c r="G55" s="157"/>
      <c r="H55" s="157"/>
      <c r="I55" s="157"/>
      <c r="J55" s="157"/>
      <c r="K55" s="157"/>
      <c r="L55" s="157"/>
      <c r="M55" s="158"/>
      <c r="N55" s="159" t="str">
        <f>IFERROR(VLOOKUP($F55,Лист1!$A$4:$F$72,2,FALSE),"")</f>
        <v/>
      </c>
      <c r="O55" s="159" t="str">
        <f>IFERROR(VLOOKUP($G55,Лист1!$A$4:$F$72,2,FALSE),"")</f>
        <v/>
      </c>
      <c r="P55" s="160" t="str">
        <f>IFERROR(VLOOKUP($H55,Лист1!$A$4:$F$72,2,FALSE),"")</f>
        <v/>
      </c>
      <c r="Q55" s="160" t="str">
        <f>IFERROR(VLOOKUP($I55,Лист1!$A$4:$F$72,2,FALSE),"")</f>
        <v/>
      </c>
      <c r="R55" s="160" t="str">
        <f>IFERROR(VLOOKUP($J55,Лист1!$A$4:$F$72,2,FALSE),"")</f>
        <v/>
      </c>
      <c r="S55" s="160" t="str">
        <f>IFERROR(VLOOKUP($K55,Лист1!$A$4:$F$72,2,FALSE),"")</f>
        <v/>
      </c>
      <c r="T55" s="160" t="str">
        <f>IFERROR(VLOOKUP($L55,Лист1!$A$4:$F$72,2,FALSE),"")</f>
        <v/>
      </c>
      <c r="U55" s="160" t="str">
        <f t="shared" si="50"/>
        <v/>
      </c>
      <c r="V55" s="161" t="str">
        <f>IFERROR(VLOOKUP($F55,Лист1!$A$4:$F$72,3,FALSE),"")</f>
        <v/>
      </c>
      <c r="W55" s="162" t="str">
        <f>IFERROR(VLOOKUP($G55,Лист1!$A$4:$F$72,3,FALSE),"")</f>
        <v/>
      </c>
      <c r="X55" s="162" t="str">
        <f>IFERROR(VLOOKUP($H55,Лист1!$A$4:$F$72,3,FALSE),"")</f>
        <v/>
      </c>
      <c r="Y55" s="162" t="str">
        <f>IFERROR(VLOOKUP($I55,Лист1!$A$4:$F$72,3,FALSE),"")</f>
        <v/>
      </c>
      <c r="Z55" s="162" t="str">
        <f>IFERROR(VLOOKUP($J55,Лист1!$A$4:$F$72,3,FALSE),"")</f>
        <v/>
      </c>
      <c r="AA55" s="162" t="str">
        <f>IFERROR(VLOOKUP($K55,Лист1!$A$4:$F$72,3,FALSE),"")</f>
        <v/>
      </c>
      <c r="AB55" s="162" t="str">
        <f>IFERROR(VLOOKUP($L55,Лист1!$A$4:$F$72,3,FALSE),"")</f>
        <v/>
      </c>
      <c r="AC55" s="162" t="str">
        <f>IFERROR(VLOOKUP($M55,Лист1!$A$4:$F$72,3,FALSE),"")</f>
        <v/>
      </c>
      <c r="AD55" s="163">
        <f t="shared" si="35"/>
        <v>0</v>
      </c>
      <c r="AE55" s="164">
        <f t="shared" si="36"/>
        <v>0</v>
      </c>
      <c r="AF55" s="165">
        <f t="shared" si="37"/>
        <v>0</v>
      </c>
      <c r="AG55" s="165">
        <f t="shared" si="38"/>
        <v>0</v>
      </c>
      <c r="AH55" s="165">
        <f t="shared" si="39"/>
        <v>0</v>
      </c>
      <c r="AI55" s="166">
        <f t="shared" si="40"/>
        <v>0</v>
      </c>
      <c r="AJ55" s="166" t="str">
        <f t="shared" si="51"/>
        <v>000</v>
      </c>
      <c r="AK55" s="166" t="str">
        <f t="shared" si="52"/>
        <v>000</v>
      </c>
      <c r="AL55" s="167"/>
      <c r="AM55" s="168" t="str">
        <f t="shared" si="41"/>
        <v>км 0+000 - км 0+000</v>
      </c>
      <c r="AN55" s="169" t="str">
        <f t="shared" si="53"/>
        <v/>
      </c>
      <c r="AO55" s="170" t="e">
        <f t="shared" si="54"/>
        <v>#VALUE!</v>
      </c>
      <c r="AP55" s="171">
        <f t="shared" si="42"/>
        <v>0</v>
      </c>
      <c r="AQ55" s="172">
        <f t="shared" si="43"/>
        <v>0</v>
      </c>
      <c r="AR55" s="173"/>
      <c r="AS55" s="174">
        <f t="shared" si="44"/>
        <v>0</v>
      </c>
      <c r="AT55" s="174">
        <f t="shared" si="45"/>
        <v>0</v>
      </c>
      <c r="AU55" s="175">
        <f t="shared" si="46"/>
        <v>0</v>
      </c>
      <c r="AV55" s="176">
        <f t="shared" si="47"/>
        <v>0</v>
      </c>
      <c r="AW55" s="176" t="str">
        <f t="shared" si="48"/>
        <v>-</v>
      </c>
      <c r="AX55" s="177"/>
      <c r="AY55" s="178" t="str">
        <f t="shared" si="55"/>
        <v>км 0+000 - км 0+000</v>
      </c>
      <c r="AZ55" s="179" t="str">
        <f t="shared" si="56"/>
        <v>-</v>
      </c>
      <c r="BA55" s="180">
        <f t="shared" si="57"/>
        <v>0.5</v>
      </c>
      <c r="BB55" s="177"/>
      <c r="BC55" s="177"/>
      <c r="BD55" s="175" t="str">
        <f t="shared" si="58"/>
        <v>км 0+000 - км 0+000</v>
      </c>
      <c r="BE55" s="181">
        <f t="shared" si="59"/>
        <v>0.5</v>
      </c>
      <c r="BF55" s="182" t="e">
        <f t="shared" ca="1" si="49"/>
        <v>#N/A</v>
      </c>
    </row>
    <row r="56" spans="1:58" ht="16.5" x14ac:dyDescent="0.25">
      <c r="A56" s="110">
        <f t="shared" si="23"/>
        <v>0</v>
      </c>
      <c r="B56" s="110"/>
      <c r="C56" s="111">
        <f t="shared" si="22"/>
        <v>0</v>
      </c>
      <c r="D56" s="112"/>
      <c r="E56" s="113"/>
      <c r="F56" s="113"/>
      <c r="G56" s="113"/>
      <c r="H56" s="113"/>
      <c r="I56" s="113"/>
      <c r="J56" s="113"/>
      <c r="K56" s="113"/>
      <c r="L56" s="113"/>
      <c r="M56" s="114"/>
      <c r="N56" s="147" t="str">
        <f>IFERROR(VLOOKUP($F56,Лист1!$A$4:$F$72,2,FALSE),"")</f>
        <v/>
      </c>
      <c r="O56" s="147" t="str">
        <f>IFERROR(VLOOKUP($G56,Лист1!$A$4:$F$72,2,FALSE),"")</f>
        <v/>
      </c>
      <c r="P56" s="115" t="str">
        <f>IFERROR(VLOOKUP($H56,Лист1!$A$4:$F$72,2,FALSE),"")</f>
        <v/>
      </c>
      <c r="Q56" s="115" t="str">
        <f>IFERROR(VLOOKUP($I56,Лист1!$A$4:$F$72,2,FALSE),"")</f>
        <v/>
      </c>
      <c r="R56" s="115" t="str">
        <f>IFERROR(VLOOKUP($J56,Лист1!$A$4:$F$72,2,FALSE),"")</f>
        <v/>
      </c>
      <c r="S56" s="115" t="str">
        <f>IFERROR(VLOOKUP($K56,Лист1!$A$4:$F$72,2,FALSE),"")</f>
        <v/>
      </c>
      <c r="T56" s="115" t="str">
        <f>IFERROR(VLOOKUP($L56,Лист1!$A$4:$F$72,2,FALSE),"")</f>
        <v/>
      </c>
      <c r="U56" s="115" t="str">
        <f t="shared" si="50"/>
        <v/>
      </c>
      <c r="V56" s="148" t="str">
        <f>IFERROR(VLOOKUP($F56,Лист1!$A$4:$F$72,3,FALSE),"")</f>
        <v/>
      </c>
      <c r="W56" s="116" t="str">
        <f>IFERROR(VLOOKUP($G56,Лист1!$A$4:$F$72,3,FALSE),"")</f>
        <v/>
      </c>
      <c r="X56" s="116" t="str">
        <f>IFERROR(VLOOKUP($H56,Лист1!$A$4:$F$72,3,FALSE),"")</f>
        <v/>
      </c>
      <c r="Y56" s="116" t="str">
        <f>IFERROR(VLOOKUP($I56,Лист1!$A$4:$F$72,3,FALSE),"")</f>
        <v/>
      </c>
      <c r="Z56" s="116" t="str">
        <f>IFERROR(VLOOKUP($J56,Лист1!$A$4:$F$72,3,FALSE),"")</f>
        <v/>
      </c>
      <c r="AA56" s="116" t="str">
        <f>IFERROR(VLOOKUP($K56,Лист1!$A$4:$F$72,3,FALSE),"")</f>
        <v/>
      </c>
      <c r="AB56" s="116" t="str">
        <f>IFERROR(VLOOKUP($L56,Лист1!$A$4:$F$72,3,FALSE),"")</f>
        <v/>
      </c>
      <c r="AC56" s="116" t="str">
        <f>IFERROR(VLOOKUP($M56,Лист1!$A$4:$F$72,3,FALSE),"")</f>
        <v/>
      </c>
      <c r="AD56" s="152">
        <f t="shared" si="35"/>
        <v>0</v>
      </c>
      <c r="AE56" s="118">
        <f t="shared" si="36"/>
        <v>0</v>
      </c>
      <c r="AF56" s="119">
        <f t="shared" si="37"/>
        <v>0</v>
      </c>
      <c r="AG56" s="119">
        <f t="shared" si="38"/>
        <v>0</v>
      </c>
      <c r="AH56" s="119">
        <f t="shared" si="39"/>
        <v>0</v>
      </c>
      <c r="AI56" s="121">
        <f t="shared" si="40"/>
        <v>0</v>
      </c>
      <c r="AJ56" s="121" t="str">
        <f t="shared" si="51"/>
        <v>000</v>
      </c>
      <c r="AK56" s="121" t="str">
        <f t="shared" si="52"/>
        <v>000</v>
      </c>
      <c r="AL56" s="122"/>
      <c r="AM56" s="123" t="str">
        <f t="shared" si="41"/>
        <v>км 0+000 - км 0+000</v>
      </c>
      <c r="AN56" s="124" t="str">
        <f t="shared" si="53"/>
        <v/>
      </c>
      <c r="AO56" s="153" t="e">
        <f t="shared" si="54"/>
        <v>#VALUE!</v>
      </c>
      <c r="AP56" s="125">
        <f t="shared" si="42"/>
        <v>0</v>
      </c>
      <c r="AQ56" s="120">
        <f t="shared" si="43"/>
        <v>0</v>
      </c>
      <c r="AR56" s="126"/>
      <c r="AS56" s="127">
        <f t="shared" si="44"/>
        <v>0</v>
      </c>
      <c r="AT56" s="127">
        <f t="shared" si="45"/>
        <v>0</v>
      </c>
      <c r="AU56" s="128">
        <f t="shared" si="46"/>
        <v>0</v>
      </c>
      <c r="AV56" s="129">
        <f t="shared" si="47"/>
        <v>0</v>
      </c>
      <c r="AW56" s="129" t="str">
        <f t="shared" si="48"/>
        <v>-</v>
      </c>
      <c r="AX56" s="130"/>
      <c r="AY56" s="127" t="str">
        <f t="shared" si="55"/>
        <v>км 0+000 - км 0+000</v>
      </c>
      <c r="AZ56" s="129" t="str">
        <f t="shared" si="56"/>
        <v>-</v>
      </c>
      <c r="BA56" s="131">
        <f t="shared" si="57"/>
        <v>0.5</v>
      </c>
      <c r="BB56" s="130"/>
      <c r="BC56" s="130"/>
      <c r="BD56" s="128" t="str">
        <f t="shared" si="58"/>
        <v>км 0+000 - км 0+000</v>
      </c>
      <c r="BE56" s="131">
        <f t="shared" si="59"/>
        <v>0.5</v>
      </c>
      <c r="BF56" s="154" t="e">
        <f t="shared" ca="1" si="49"/>
        <v>#N/A</v>
      </c>
    </row>
    <row r="57" spans="1:58" ht="16.5" x14ac:dyDescent="0.25">
      <c r="A57" s="110">
        <f t="shared" si="23"/>
        <v>0</v>
      </c>
      <c r="B57" s="110"/>
      <c r="C57" s="111">
        <f t="shared" si="22"/>
        <v>0</v>
      </c>
      <c r="D57" s="155"/>
      <c r="E57" s="156"/>
      <c r="F57" s="156"/>
      <c r="G57" s="157"/>
      <c r="H57" s="157"/>
      <c r="I57" s="157"/>
      <c r="J57" s="157"/>
      <c r="K57" s="157"/>
      <c r="L57" s="157"/>
      <c r="M57" s="158"/>
      <c r="N57" s="159" t="str">
        <f>IFERROR(VLOOKUP($F57,Лист1!$A$4:$F$72,2,FALSE),"")</f>
        <v/>
      </c>
      <c r="O57" s="159" t="str">
        <f>IFERROR(VLOOKUP($G57,Лист1!$A$4:$F$72,2,FALSE),"")</f>
        <v/>
      </c>
      <c r="P57" s="160" t="str">
        <f>IFERROR(VLOOKUP($H57,Лист1!$A$4:$F$72,2,FALSE),"")</f>
        <v/>
      </c>
      <c r="Q57" s="160" t="str">
        <f>IFERROR(VLOOKUP($I57,Лист1!$A$4:$F$72,2,FALSE),"")</f>
        <v/>
      </c>
      <c r="R57" s="160" t="str">
        <f>IFERROR(VLOOKUP($J57,Лист1!$A$4:$F$72,2,FALSE),"")</f>
        <v/>
      </c>
      <c r="S57" s="160" t="str">
        <f>IFERROR(VLOOKUP($K57,Лист1!$A$4:$F$72,2,FALSE),"")</f>
        <v/>
      </c>
      <c r="T57" s="160" t="str">
        <f>IFERROR(VLOOKUP($L57,Лист1!$A$4:$F$72,2,FALSE),"")</f>
        <v/>
      </c>
      <c r="U57" s="160" t="str">
        <f t="shared" si="50"/>
        <v/>
      </c>
      <c r="V57" s="161" t="str">
        <f>IFERROR(VLOOKUP($F57,Лист1!$A$4:$F$72,3,FALSE),"")</f>
        <v/>
      </c>
      <c r="W57" s="162" t="str">
        <f>IFERROR(VLOOKUP($G57,Лист1!$A$4:$F$72,3,FALSE),"")</f>
        <v/>
      </c>
      <c r="X57" s="162" t="str">
        <f>IFERROR(VLOOKUP($H57,Лист1!$A$4:$F$72,3,FALSE),"")</f>
        <v/>
      </c>
      <c r="Y57" s="162" t="str">
        <f>IFERROR(VLOOKUP($I57,Лист1!$A$4:$F$72,3,FALSE),"")</f>
        <v/>
      </c>
      <c r="Z57" s="162" t="str">
        <f>IFERROR(VLOOKUP($J57,Лист1!$A$4:$F$72,3,FALSE),"")</f>
        <v/>
      </c>
      <c r="AA57" s="162" t="str">
        <f>IFERROR(VLOOKUP($K57,Лист1!$A$4:$F$72,3,FALSE),"")</f>
        <v/>
      </c>
      <c r="AB57" s="162" t="str">
        <f>IFERROR(VLOOKUP($L57,Лист1!$A$4:$F$72,3,FALSE),"")</f>
        <v/>
      </c>
      <c r="AC57" s="162" t="str">
        <f>IFERROR(VLOOKUP($M57,Лист1!$A$4:$F$72,3,FALSE),"")</f>
        <v/>
      </c>
      <c r="AD57" s="163">
        <f t="shared" si="35"/>
        <v>0</v>
      </c>
      <c r="AE57" s="164">
        <f t="shared" si="36"/>
        <v>0</v>
      </c>
      <c r="AF57" s="165">
        <f t="shared" si="37"/>
        <v>0</v>
      </c>
      <c r="AG57" s="165">
        <f t="shared" si="38"/>
        <v>0</v>
      </c>
      <c r="AH57" s="165">
        <f t="shared" si="39"/>
        <v>0</v>
      </c>
      <c r="AI57" s="166">
        <f t="shared" si="40"/>
        <v>0</v>
      </c>
      <c r="AJ57" s="166" t="str">
        <f t="shared" si="51"/>
        <v>000</v>
      </c>
      <c r="AK57" s="166" t="str">
        <f t="shared" si="52"/>
        <v>000</v>
      </c>
      <c r="AL57" s="167"/>
      <c r="AM57" s="168" t="str">
        <f t="shared" si="41"/>
        <v>км 0+000 - км 0+000</v>
      </c>
      <c r="AN57" s="169" t="str">
        <f t="shared" si="53"/>
        <v/>
      </c>
      <c r="AO57" s="170" t="e">
        <f t="shared" si="54"/>
        <v>#VALUE!</v>
      </c>
      <c r="AP57" s="171">
        <f t="shared" si="42"/>
        <v>0</v>
      </c>
      <c r="AQ57" s="172">
        <f t="shared" si="43"/>
        <v>0</v>
      </c>
      <c r="AR57" s="173"/>
      <c r="AS57" s="174">
        <f t="shared" si="44"/>
        <v>0</v>
      </c>
      <c r="AT57" s="174">
        <f t="shared" si="45"/>
        <v>0</v>
      </c>
      <c r="AU57" s="175">
        <f t="shared" si="46"/>
        <v>0</v>
      </c>
      <c r="AV57" s="176">
        <f t="shared" si="47"/>
        <v>0</v>
      </c>
      <c r="AW57" s="176" t="str">
        <f t="shared" si="48"/>
        <v>-</v>
      </c>
      <c r="AX57" s="177"/>
      <c r="AY57" s="178" t="str">
        <f t="shared" si="55"/>
        <v>км 0+000 - км 0+000</v>
      </c>
      <c r="AZ57" s="179" t="str">
        <f t="shared" si="56"/>
        <v>-</v>
      </c>
      <c r="BA57" s="180">
        <f t="shared" si="57"/>
        <v>0.5</v>
      </c>
      <c r="BB57" s="177"/>
      <c r="BC57" s="177"/>
      <c r="BD57" s="175" t="str">
        <f t="shared" si="58"/>
        <v>км 0+000 - км 0+000</v>
      </c>
      <c r="BE57" s="181">
        <f t="shared" si="59"/>
        <v>0.5</v>
      </c>
      <c r="BF57" s="182" t="e">
        <f t="shared" ca="1" si="49"/>
        <v>#N/A</v>
      </c>
    </row>
    <row r="58" spans="1:58" ht="16.5" x14ac:dyDescent="0.25">
      <c r="A58" s="110">
        <f t="shared" si="23"/>
        <v>0</v>
      </c>
      <c r="B58" s="110"/>
      <c r="C58" s="111">
        <f t="shared" si="22"/>
        <v>0</v>
      </c>
      <c r="D58" s="112"/>
      <c r="E58" s="113"/>
      <c r="F58" s="113"/>
      <c r="G58" s="113"/>
      <c r="H58" s="113"/>
      <c r="I58" s="113"/>
      <c r="J58" s="113"/>
      <c r="K58" s="113"/>
      <c r="L58" s="113"/>
      <c r="M58" s="114"/>
      <c r="N58" s="147" t="str">
        <f>IFERROR(VLOOKUP($F58,Лист1!$A$4:$F$72,2,FALSE),"")</f>
        <v/>
      </c>
      <c r="O58" s="147" t="str">
        <f>IFERROR(VLOOKUP($G58,Лист1!$A$4:$F$72,2,FALSE),"")</f>
        <v/>
      </c>
      <c r="P58" s="115" t="str">
        <f>IFERROR(VLOOKUP($H58,Лист1!$A$4:$F$72,2,FALSE),"")</f>
        <v/>
      </c>
      <c r="Q58" s="115" t="str">
        <f>IFERROR(VLOOKUP($I58,Лист1!$A$4:$F$72,2,FALSE),"")</f>
        <v/>
      </c>
      <c r="R58" s="115" t="str">
        <f>IFERROR(VLOOKUP($J58,Лист1!$A$4:$F$72,2,FALSE),"")</f>
        <v/>
      </c>
      <c r="S58" s="115" t="str">
        <f>IFERROR(VLOOKUP($K58,Лист1!$A$4:$F$72,2,FALSE),"")</f>
        <v/>
      </c>
      <c r="T58" s="115" t="str">
        <f>IFERROR(VLOOKUP($L58,Лист1!$A$4:$F$72,2,FALSE),"")</f>
        <v/>
      </c>
      <c r="U58" s="115" t="str">
        <f t="shared" si="50"/>
        <v/>
      </c>
      <c r="V58" s="148" t="str">
        <f>IFERROR(VLOOKUP($F58,Лист1!$A$4:$F$72,3,FALSE),"")</f>
        <v/>
      </c>
      <c r="W58" s="116" t="str">
        <f>IFERROR(VLOOKUP($G58,Лист1!$A$4:$F$72,3,FALSE),"")</f>
        <v/>
      </c>
      <c r="X58" s="116" t="str">
        <f>IFERROR(VLOOKUP($H58,Лист1!$A$4:$F$72,3,FALSE),"")</f>
        <v/>
      </c>
      <c r="Y58" s="116" t="str">
        <f>IFERROR(VLOOKUP($I58,Лист1!$A$4:$F$72,3,FALSE),"")</f>
        <v/>
      </c>
      <c r="Z58" s="116" t="str">
        <f>IFERROR(VLOOKUP($J58,Лист1!$A$4:$F$72,3,FALSE),"")</f>
        <v/>
      </c>
      <c r="AA58" s="116" t="str">
        <f>IFERROR(VLOOKUP($K58,Лист1!$A$4:$F$72,3,FALSE),"")</f>
        <v/>
      </c>
      <c r="AB58" s="116" t="str">
        <f>IFERROR(VLOOKUP($L58,Лист1!$A$4:$F$72,3,FALSE),"")</f>
        <v/>
      </c>
      <c r="AC58" s="116" t="str">
        <f>IFERROR(VLOOKUP($M58,Лист1!$A$4:$F$72,3,FALSE),"")</f>
        <v/>
      </c>
      <c r="AD58" s="152">
        <f t="shared" si="35"/>
        <v>0</v>
      </c>
      <c r="AE58" s="118">
        <f t="shared" si="36"/>
        <v>0</v>
      </c>
      <c r="AF58" s="119">
        <f t="shared" si="37"/>
        <v>0</v>
      </c>
      <c r="AG58" s="119">
        <f t="shared" si="38"/>
        <v>0</v>
      </c>
      <c r="AH58" s="119">
        <f t="shared" si="39"/>
        <v>0</v>
      </c>
      <c r="AI58" s="121">
        <f t="shared" si="40"/>
        <v>0</v>
      </c>
      <c r="AJ58" s="121" t="str">
        <f t="shared" si="51"/>
        <v>000</v>
      </c>
      <c r="AK58" s="121" t="str">
        <f t="shared" si="52"/>
        <v>000</v>
      </c>
      <c r="AL58" s="122"/>
      <c r="AM58" s="123" t="str">
        <f t="shared" si="41"/>
        <v>км 0+000 - км 0+000</v>
      </c>
      <c r="AN58" s="124" t="str">
        <f t="shared" si="53"/>
        <v/>
      </c>
      <c r="AO58" s="153" t="e">
        <f t="shared" si="54"/>
        <v>#VALUE!</v>
      </c>
      <c r="AP58" s="125">
        <f t="shared" si="42"/>
        <v>0</v>
      </c>
      <c r="AQ58" s="120">
        <f t="shared" si="43"/>
        <v>0</v>
      </c>
      <c r="AR58" s="126"/>
      <c r="AS58" s="127">
        <f t="shared" si="44"/>
        <v>0</v>
      </c>
      <c r="AT58" s="127">
        <f t="shared" si="45"/>
        <v>0</v>
      </c>
      <c r="AU58" s="128">
        <f t="shared" si="46"/>
        <v>0</v>
      </c>
      <c r="AV58" s="129">
        <f t="shared" si="47"/>
        <v>0</v>
      </c>
      <c r="AW58" s="129" t="str">
        <f t="shared" si="48"/>
        <v>-</v>
      </c>
      <c r="AX58" s="130"/>
      <c r="AY58" s="127" t="str">
        <f t="shared" si="55"/>
        <v>км 0+000 - км 0+000</v>
      </c>
      <c r="AZ58" s="129" t="str">
        <f t="shared" si="56"/>
        <v>-</v>
      </c>
      <c r="BA58" s="131">
        <f t="shared" si="57"/>
        <v>0.5</v>
      </c>
      <c r="BB58" s="130"/>
      <c r="BC58" s="130"/>
      <c r="BD58" s="128" t="str">
        <f t="shared" si="58"/>
        <v>км 0+000 - км 0+000</v>
      </c>
      <c r="BE58" s="131">
        <f t="shared" si="59"/>
        <v>0.5</v>
      </c>
      <c r="BF58" s="154" t="e">
        <f t="shared" ca="1" si="49"/>
        <v>#N/A</v>
      </c>
    </row>
    <row r="59" spans="1:58" ht="16.5" x14ac:dyDescent="0.25">
      <c r="A59" s="110">
        <f t="shared" si="23"/>
        <v>0</v>
      </c>
      <c r="B59" s="110"/>
      <c r="C59" s="111">
        <f t="shared" si="22"/>
        <v>0</v>
      </c>
      <c r="D59" s="155"/>
      <c r="E59" s="156"/>
      <c r="F59" s="156"/>
      <c r="G59" s="157"/>
      <c r="H59" s="157"/>
      <c r="I59" s="157"/>
      <c r="J59" s="157"/>
      <c r="K59" s="157"/>
      <c r="L59" s="157"/>
      <c r="M59" s="158"/>
      <c r="N59" s="159" t="str">
        <f>IFERROR(VLOOKUP($F59,Лист1!$A$4:$F$72,2,FALSE),"")</f>
        <v/>
      </c>
      <c r="O59" s="159" t="str">
        <f>IFERROR(VLOOKUP($G59,Лист1!$A$4:$F$72,2,FALSE),"")</f>
        <v/>
      </c>
      <c r="P59" s="160" t="str">
        <f>IFERROR(VLOOKUP($H59,Лист1!$A$4:$F$72,2,FALSE),"")</f>
        <v/>
      </c>
      <c r="Q59" s="160" t="str">
        <f>IFERROR(VLOOKUP($I59,Лист1!$A$4:$F$72,2,FALSE),"")</f>
        <v/>
      </c>
      <c r="R59" s="160" t="str">
        <f>IFERROR(VLOOKUP($J59,Лист1!$A$4:$F$72,2,FALSE),"")</f>
        <v/>
      </c>
      <c r="S59" s="160" t="str">
        <f>IFERROR(VLOOKUP($K59,Лист1!$A$4:$F$72,2,FALSE),"")</f>
        <v/>
      </c>
      <c r="T59" s="160" t="str">
        <f>IFERROR(VLOOKUP($L59,Лист1!$A$4:$F$72,2,FALSE),"")</f>
        <v/>
      </c>
      <c r="U59" s="160" t="str">
        <f t="shared" si="50"/>
        <v/>
      </c>
      <c r="V59" s="161" t="str">
        <f>IFERROR(VLOOKUP($F59,Лист1!$A$4:$F$72,3,FALSE),"")</f>
        <v/>
      </c>
      <c r="W59" s="162" t="str">
        <f>IFERROR(VLOOKUP($G59,Лист1!$A$4:$F$72,3,FALSE),"")</f>
        <v/>
      </c>
      <c r="X59" s="162" t="str">
        <f>IFERROR(VLOOKUP($H59,Лист1!$A$4:$F$72,3,FALSE),"")</f>
        <v/>
      </c>
      <c r="Y59" s="162" t="str">
        <f>IFERROR(VLOOKUP($I59,Лист1!$A$4:$F$72,3,FALSE),"")</f>
        <v/>
      </c>
      <c r="Z59" s="162" t="str">
        <f>IFERROR(VLOOKUP($J59,Лист1!$A$4:$F$72,3,FALSE),"")</f>
        <v/>
      </c>
      <c r="AA59" s="162" t="str">
        <f>IFERROR(VLOOKUP($K59,Лист1!$A$4:$F$72,3,FALSE),"")</f>
        <v/>
      </c>
      <c r="AB59" s="162" t="str">
        <f>IFERROR(VLOOKUP($L59,Лист1!$A$4:$F$72,3,FALSE),"")</f>
        <v/>
      </c>
      <c r="AC59" s="162" t="str">
        <f>IFERROR(VLOOKUP($M59,Лист1!$A$4:$F$72,3,FALSE),"")</f>
        <v/>
      </c>
      <c r="AD59" s="163">
        <f t="shared" si="35"/>
        <v>0</v>
      </c>
      <c r="AE59" s="164">
        <f t="shared" si="36"/>
        <v>0</v>
      </c>
      <c r="AF59" s="165">
        <f t="shared" si="37"/>
        <v>0</v>
      </c>
      <c r="AG59" s="165">
        <f t="shared" si="38"/>
        <v>0</v>
      </c>
      <c r="AH59" s="165">
        <f t="shared" si="39"/>
        <v>0</v>
      </c>
      <c r="AI59" s="166">
        <f t="shared" si="40"/>
        <v>0</v>
      </c>
      <c r="AJ59" s="166" t="str">
        <f t="shared" si="51"/>
        <v>000</v>
      </c>
      <c r="AK59" s="166" t="str">
        <f t="shared" si="52"/>
        <v>000</v>
      </c>
      <c r="AL59" s="167"/>
      <c r="AM59" s="168" t="str">
        <f t="shared" si="41"/>
        <v>км 0+000 - км 0+000</v>
      </c>
      <c r="AN59" s="169" t="str">
        <f t="shared" si="53"/>
        <v/>
      </c>
      <c r="AO59" s="170" t="e">
        <f t="shared" si="54"/>
        <v>#VALUE!</v>
      </c>
      <c r="AP59" s="171">
        <f t="shared" si="42"/>
        <v>0</v>
      </c>
      <c r="AQ59" s="172">
        <f t="shared" si="43"/>
        <v>0</v>
      </c>
      <c r="AR59" s="173"/>
      <c r="AS59" s="174">
        <f t="shared" si="44"/>
        <v>0</v>
      </c>
      <c r="AT59" s="174">
        <f t="shared" si="45"/>
        <v>0</v>
      </c>
      <c r="AU59" s="175">
        <f t="shared" si="46"/>
        <v>0</v>
      </c>
      <c r="AV59" s="176">
        <f t="shared" si="47"/>
        <v>0</v>
      </c>
      <c r="AW59" s="176" t="str">
        <f t="shared" si="48"/>
        <v>-</v>
      </c>
      <c r="AX59" s="177"/>
      <c r="AY59" s="178" t="str">
        <f t="shared" si="55"/>
        <v>км 0+000 - км 0+000</v>
      </c>
      <c r="AZ59" s="179" t="str">
        <f t="shared" si="56"/>
        <v>-</v>
      </c>
      <c r="BA59" s="180">
        <f t="shared" si="57"/>
        <v>0.5</v>
      </c>
      <c r="BB59" s="177"/>
      <c r="BC59" s="177"/>
      <c r="BD59" s="175" t="str">
        <f t="shared" si="58"/>
        <v>км 0+000 - км 0+000</v>
      </c>
      <c r="BE59" s="181">
        <f t="shared" si="59"/>
        <v>0.5</v>
      </c>
      <c r="BF59" s="182" t="e">
        <f t="shared" ca="1" si="49"/>
        <v>#N/A</v>
      </c>
    </row>
    <row r="60" spans="1:58" ht="16.5" x14ac:dyDescent="0.25">
      <c r="A60" s="110">
        <f t="shared" si="23"/>
        <v>0</v>
      </c>
      <c r="B60" s="110"/>
      <c r="C60" s="111">
        <f t="shared" si="22"/>
        <v>0</v>
      </c>
      <c r="D60" s="112"/>
      <c r="E60" s="113"/>
      <c r="F60" s="113"/>
      <c r="G60" s="113"/>
      <c r="H60" s="113"/>
      <c r="I60" s="113"/>
      <c r="J60" s="113"/>
      <c r="K60" s="113"/>
      <c r="L60" s="113"/>
      <c r="M60" s="114"/>
      <c r="N60" s="147" t="str">
        <f>IFERROR(VLOOKUP($F60,Лист1!$A$4:$F$72,2,FALSE),"")</f>
        <v/>
      </c>
      <c r="O60" s="147" t="str">
        <f>IFERROR(VLOOKUP($G60,Лист1!$A$4:$F$72,2,FALSE),"")</f>
        <v/>
      </c>
      <c r="P60" s="115" t="str">
        <f>IFERROR(VLOOKUP($H60,Лист1!$A$4:$F$72,2,FALSE),"")</f>
        <v/>
      </c>
      <c r="Q60" s="115" t="str">
        <f>IFERROR(VLOOKUP($I60,Лист1!$A$4:$F$72,2,FALSE),"")</f>
        <v/>
      </c>
      <c r="R60" s="115" t="str">
        <f>IFERROR(VLOOKUP($J60,Лист1!$A$4:$F$72,2,FALSE),"")</f>
        <v/>
      </c>
      <c r="S60" s="115" t="str">
        <f>IFERROR(VLOOKUP($K60,Лист1!$A$4:$F$72,2,FALSE),"")</f>
        <v/>
      </c>
      <c r="T60" s="115" t="str">
        <f>IFERROR(VLOOKUP($L60,Лист1!$A$4:$F$72,2,FALSE),"")</f>
        <v/>
      </c>
      <c r="U60" s="115" t="str">
        <f t="shared" si="50"/>
        <v/>
      </c>
      <c r="V60" s="148" t="str">
        <f>IFERROR(VLOOKUP($F60,Лист1!$A$4:$F$72,3,FALSE),"")</f>
        <v/>
      </c>
      <c r="W60" s="116" t="str">
        <f>IFERROR(VLOOKUP($G60,Лист1!$A$4:$F$72,3,FALSE),"")</f>
        <v/>
      </c>
      <c r="X60" s="116" t="str">
        <f>IFERROR(VLOOKUP($H60,Лист1!$A$4:$F$72,3,FALSE),"")</f>
        <v/>
      </c>
      <c r="Y60" s="116" t="str">
        <f>IFERROR(VLOOKUP($I60,Лист1!$A$4:$F$72,3,FALSE),"")</f>
        <v/>
      </c>
      <c r="Z60" s="116" t="str">
        <f>IFERROR(VLOOKUP($J60,Лист1!$A$4:$F$72,3,FALSE),"")</f>
        <v/>
      </c>
      <c r="AA60" s="116" t="str">
        <f>IFERROR(VLOOKUP($K60,Лист1!$A$4:$F$72,3,FALSE),"")</f>
        <v/>
      </c>
      <c r="AB60" s="116" t="str">
        <f>IFERROR(VLOOKUP($L60,Лист1!$A$4:$F$72,3,FALSE),"")</f>
        <v/>
      </c>
      <c r="AC60" s="116" t="str">
        <f>IFERROR(VLOOKUP($M60,Лист1!$A$4:$F$72,3,FALSE),"")</f>
        <v/>
      </c>
      <c r="AD60" s="152">
        <f t="shared" si="35"/>
        <v>0</v>
      </c>
      <c r="AE60" s="118">
        <f t="shared" si="36"/>
        <v>0</v>
      </c>
      <c r="AF60" s="119">
        <f t="shared" si="37"/>
        <v>0</v>
      </c>
      <c r="AG60" s="119">
        <f t="shared" si="38"/>
        <v>0</v>
      </c>
      <c r="AH60" s="119">
        <f t="shared" si="39"/>
        <v>0</v>
      </c>
      <c r="AI60" s="121">
        <f t="shared" si="40"/>
        <v>0</v>
      </c>
      <c r="AJ60" s="121" t="str">
        <f t="shared" si="51"/>
        <v>000</v>
      </c>
      <c r="AK60" s="121" t="str">
        <f t="shared" si="52"/>
        <v>000</v>
      </c>
      <c r="AL60" s="122"/>
      <c r="AM60" s="123" t="str">
        <f t="shared" si="41"/>
        <v>км 0+000 - км 0+000</v>
      </c>
      <c r="AN60" s="124" t="str">
        <f t="shared" si="53"/>
        <v/>
      </c>
      <c r="AO60" s="153" t="e">
        <f t="shared" si="54"/>
        <v>#VALUE!</v>
      </c>
      <c r="AP60" s="125">
        <f t="shared" si="42"/>
        <v>0</v>
      </c>
      <c r="AQ60" s="120">
        <f t="shared" si="43"/>
        <v>0</v>
      </c>
      <c r="AR60" s="126"/>
      <c r="AS60" s="127">
        <f t="shared" si="44"/>
        <v>0</v>
      </c>
      <c r="AT60" s="127">
        <f t="shared" si="45"/>
        <v>0</v>
      </c>
      <c r="AU60" s="128">
        <f t="shared" si="46"/>
        <v>0</v>
      </c>
      <c r="AV60" s="129">
        <f t="shared" si="47"/>
        <v>0</v>
      </c>
      <c r="AW60" s="129" t="str">
        <f t="shared" si="48"/>
        <v>-</v>
      </c>
      <c r="AX60" s="130"/>
      <c r="AY60" s="127" t="str">
        <f t="shared" si="55"/>
        <v>км 0+000 - км 0+000</v>
      </c>
      <c r="AZ60" s="129" t="str">
        <f t="shared" si="56"/>
        <v>-</v>
      </c>
      <c r="BA60" s="131">
        <f t="shared" si="57"/>
        <v>0.5</v>
      </c>
      <c r="BB60" s="130"/>
      <c r="BC60" s="130"/>
      <c r="BD60" s="128" t="str">
        <f t="shared" si="58"/>
        <v>км 0+000 - км 0+000</v>
      </c>
      <c r="BE60" s="131">
        <f t="shared" si="59"/>
        <v>0.5</v>
      </c>
      <c r="BF60" s="154" t="e">
        <f t="shared" ca="1" si="49"/>
        <v>#N/A</v>
      </c>
    </row>
    <row r="61" spans="1:58" ht="16.5" x14ac:dyDescent="0.25">
      <c r="A61" s="110">
        <f t="shared" si="23"/>
        <v>0</v>
      </c>
      <c r="B61" s="110"/>
      <c r="C61" s="111">
        <f t="shared" si="22"/>
        <v>0</v>
      </c>
      <c r="D61" s="155"/>
      <c r="E61" s="156"/>
      <c r="F61" s="156"/>
      <c r="G61" s="157"/>
      <c r="H61" s="157"/>
      <c r="I61" s="157"/>
      <c r="J61" s="157"/>
      <c r="K61" s="157"/>
      <c r="L61" s="157"/>
      <c r="M61" s="158"/>
      <c r="N61" s="159" t="str">
        <f>IFERROR(VLOOKUP($F61,Лист1!$A$4:$F$72,2,FALSE),"")</f>
        <v/>
      </c>
      <c r="O61" s="159" t="str">
        <f>IFERROR(VLOOKUP($G61,Лист1!$A$4:$F$72,2,FALSE),"")</f>
        <v/>
      </c>
      <c r="P61" s="160" t="str">
        <f>IFERROR(VLOOKUP($H61,Лист1!$A$4:$F$72,2,FALSE),"")</f>
        <v/>
      </c>
      <c r="Q61" s="160" t="str">
        <f>IFERROR(VLOOKUP($I61,Лист1!$A$4:$F$72,2,FALSE),"")</f>
        <v/>
      </c>
      <c r="R61" s="160" t="str">
        <f>IFERROR(VLOOKUP($J61,Лист1!$A$4:$F$72,2,FALSE),"")</f>
        <v/>
      </c>
      <c r="S61" s="160" t="str">
        <f>IFERROR(VLOOKUP($K61,Лист1!$A$4:$F$72,2,FALSE),"")</f>
        <v/>
      </c>
      <c r="T61" s="160" t="str">
        <f>IFERROR(VLOOKUP($L61,Лист1!$A$4:$F$72,2,FALSE),"")</f>
        <v/>
      </c>
      <c r="U61" s="160" t="str">
        <f t="shared" si="50"/>
        <v/>
      </c>
      <c r="V61" s="161" t="str">
        <f>IFERROR(VLOOKUP($F61,Лист1!$A$4:$F$72,3,FALSE),"")</f>
        <v/>
      </c>
      <c r="W61" s="162" t="str">
        <f>IFERROR(VLOOKUP($G61,Лист1!$A$4:$F$72,3,FALSE),"")</f>
        <v/>
      </c>
      <c r="X61" s="162" t="str">
        <f>IFERROR(VLOOKUP($H61,Лист1!$A$4:$F$72,3,FALSE),"")</f>
        <v/>
      </c>
      <c r="Y61" s="162" t="str">
        <f>IFERROR(VLOOKUP($I61,Лист1!$A$4:$F$72,3,FALSE),"")</f>
        <v/>
      </c>
      <c r="Z61" s="162" t="str">
        <f>IFERROR(VLOOKUP($J61,Лист1!$A$4:$F$72,3,FALSE),"")</f>
        <v/>
      </c>
      <c r="AA61" s="162" t="str">
        <f>IFERROR(VLOOKUP($K61,Лист1!$A$4:$F$72,3,FALSE),"")</f>
        <v/>
      </c>
      <c r="AB61" s="162" t="str">
        <f>IFERROR(VLOOKUP($L61,Лист1!$A$4:$F$72,3,FALSE),"")</f>
        <v/>
      </c>
      <c r="AC61" s="162" t="str">
        <f>IFERROR(VLOOKUP($M61,Лист1!$A$4:$F$72,3,FALSE),"")</f>
        <v/>
      </c>
      <c r="AD61" s="163">
        <f t="shared" si="35"/>
        <v>0</v>
      </c>
      <c r="AE61" s="164">
        <f t="shared" si="36"/>
        <v>0</v>
      </c>
      <c r="AF61" s="165">
        <f t="shared" si="37"/>
        <v>0</v>
      </c>
      <c r="AG61" s="165">
        <f t="shared" si="38"/>
        <v>0</v>
      </c>
      <c r="AH61" s="165">
        <f t="shared" si="39"/>
        <v>0</v>
      </c>
      <c r="AI61" s="166">
        <f t="shared" si="40"/>
        <v>0</v>
      </c>
      <c r="AJ61" s="166" t="str">
        <f t="shared" si="51"/>
        <v>000</v>
      </c>
      <c r="AK61" s="166" t="str">
        <f t="shared" si="52"/>
        <v>000</v>
      </c>
      <c r="AL61" s="167"/>
      <c r="AM61" s="168" t="str">
        <f t="shared" si="41"/>
        <v>км 0+000 - км 0+000</v>
      </c>
      <c r="AN61" s="169" t="str">
        <f t="shared" si="53"/>
        <v/>
      </c>
      <c r="AO61" s="170" t="e">
        <f t="shared" si="54"/>
        <v>#VALUE!</v>
      </c>
      <c r="AP61" s="171">
        <f t="shared" si="42"/>
        <v>0</v>
      </c>
      <c r="AQ61" s="172">
        <f t="shared" si="43"/>
        <v>0</v>
      </c>
      <c r="AR61" s="173"/>
      <c r="AS61" s="174">
        <f t="shared" si="44"/>
        <v>0</v>
      </c>
      <c r="AT61" s="174">
        <f t="shared" si="45"/>
        <v>0</v>
      </c>
      <c r="AU61" s="175">
        <f t="shared" si="46"/>
        <v>0</v>
      </c>
      <c r="AV61" s="176">
        <f t="shared" si="47"/>
        <v>0</v>
      </c>
      <c r="AW61" s="176" t="str">
        <f t="shared" si="48"/>
        <v>-</v>
      </c>
      <c r="AX61" s="177"/>
      <c r="AY61" s="178" t="str">
        <f t="shared" si="55"/>
        <v>км 0+000 - км 0+000</v>
      </c>
      <c r="AZ61" s="179" t="str">
        <f t="shared" si="56"/>
        <v>-</v>
      </c>
      <c r="BA61" s="180">
        <f t="shared" si="57"/>
        <v>0.5</v>
      </c>
      <c r="BB61" s="177"/>
      <c r="BC61" s="177"/>
      <c r="BD61" s="175" t="str">
        <f t="shared" si="58"/>
        <v>км 0+000 - км 0+000</v>
      </c>
      <c r="BE61" s="181">
        <f t="shared" si="59"/>
        <v>0.5</v>
      </c>
      <c r="BF61" s="182" t="e">
        <f t="shared" ca="1" si="49"/>
        <v>#N/A</v>
      </c>
    </row>
    <row r="62" spans="1:58" ht="16.5" x14ac:dyDescent="0.25">
      <c r="A62" s="110">
        <f t="shared" si="23"/>
        <v>0</v>
      </c>
      <c r="B62" s="110"/>
      <c r="C62" s="111">
        <f t="shared" si="22"/>
        <v>0</v>
      </c>
      <c r="D62" s="112"/>
      <c r="E62" s="113"/>
      <c r="F62" s="113"/>
      <c r="G62" s="113"/>
      <c r="H62" s="113"/>
      <c r="I62" s="113"/>
      <c r="J62" s="113"/>
      <c r="K62" s="113"/>
      <c r="L62" s="113"/>
      <c r="M62" s="114"/>
      <c r="N62" s="147" t="str">
        <f>IFERROR(VLOOKUP($F62,Лист1!$A$4:$F$72,2,FALSE),"")</f>
        <v/>
      </c>
      <c r="O62" s="147" t="str">
        <f>IFERROR(VLOOKUP($G62,Лист1!$A$4:$F$72,2,FALSE),"")</f>
        <v/>
      </c>
      <c r="P62" s="115" t="str">
        <f>IFERROR(VLOOKUP($H62,Лист1!$A$4:$F$72,2,FALSE),"")</f>
        <v/>
      </c>
      <c r="Q62" s="115" t="str">
        <f>IFERROR(VLOOKUP($I62,Лист1!$A$4:$F$72,2,FALSE),"")</f>
        <v/>
      </c>
      <c r="R62" s="115" t="str">
        <f>IFERROR(VLOOKUP($J62,Лист1!$A$4:$F$72,2,FALSE),"")</f>
        <v/>
      </c>
      <c r="S62" s="115" t="str">
        <f>IFERROR(VLOOKUP($K62,Лист1!$A$4:$F$72,2,FALSE),"")</f>
        <v/>
      </c>
      <c r="T62" s="115" t="str">
        <f>IFERROR(VLOOKUP($L62,Лист1!$A$4:$F$72,2,FALSE),"")</f>
        <v/>
      </c>
      <c r="U62" s="115" t="str">
        <f t="shared" si="50"/>
        <v/>
      </c>
      <c r="V62" s="148" t="str">
        <f>IFERROR(VLOOKUP($F62,Лист1!$A$4:$F$72,3,FALSE),"")</f>
        <v/>
      </c>
      <c r="W62" s="116" t="str">
        <f>IFERROR(VLOOKUP($G62,Лист1!$A$4:$F$72,3,FALSE),"")</f>
        <v/>
      </c>
      <c r="X62" s="116" t="str">
        <f>IFERROR(VLOOKUP($H62,Лист1!$A$4:$F$72,3,FALSE),"")</f>
        <v/>
      </c>
      <c r="Y62" s="116" t="str">
        <f>IFERROR(VLOOKUP($I62,Лист1!$A$4:$F$72,3,FALSE),"")</f>
        <v/>
      </c>
      <c r="Z62" s="116" t="str">
        <f>IFERROR(VLOOKUP($J62,Лист1!$A$4:$F$72,3,FALSE),"")</f>
        <v/>
      </c>
      <c r="AA62" s="116" t="str">
        <f>IFERROR(VLOOKUP($K62,Лист1!$A$4:$F$72,3,FALSE),"")</f>
        <v/>
      </c>
      <c r="AB62" s="116" t="str">
        <f>IFERROR(VLOOKUP($L62,Лист1!$A$4:$F$72,3,FALSE),"")</f>
        <v/>
      </c>
      <c r="AC62" s="116" t="str">
        <f>IFERROR(VLOOKUP($M62,Лист1!$A$4:$F$72,3,FALSE),"")</f>
        <v/>
      </c>
      <c r="AD62" s="152">
        <f t="shared" si="35"/>
        <v>0</v>
      </c>
      <c r="AE62" s="118">
        <f t="shared" si="36"/>
        <v>0</v>
      </c>
      <c r="AF62" s="119">
        <f t="shared" si="37"/>
        <v>0</v>
      </c>
      <c r="AG62" s="119">
        <f t="shared" si="38"/>
        <v>0</v>
      </c>
      <c r="AH62" s="119">
        <f t="shared" si="39"/>
        <v>0</v>
      </c>
      <c r="AI62" s="121">
        <f t="shared" si="40"/>
        <v>0</v>
      </c>
      <c r="AJ62" s="121" t="str">
        <f t="shared" si="51"/>
        <v>000</v>
      </c>
      <c r="AK62" s="121" t="str">
        <f t="shared" si="52"/>
        <v>000</v>
      </c>
      <c r="AL62" s="122"/>
      <c r="AM62" s="123" t="str">
        <f t="shared" si="41"/>
        <v>км 0+000 - км 0+000</v>
      </c>
      <c r="AN62" s="124" t="str">
        <f t="shared" si="53"/>
        <v/>
      </c>
      <c r="AO62" s="153" t="e">
        <f t="shared" si="54"/>
        <v>#VALUE!</v>
      </c>
      <c r="AP62" s="125">
        <f t="shared" si="42"/>
        <v>0</v>
      </c>
      <c r="AQ62" s="120">
        <f t="shared" si="43"/>
        <v>0</v>
      </c>
      <c r="AR62" s="126"/>
      <c r="AS62" s="127">
        <f t="shared" si="44"/>
        <v>0</v>
      </c>
      <c r="AT62" s="127">
        <f t="shared" si="45"/>
        <v>0</v>
      </c>
      <c r="AU62" s="128">
        <f t="shared" si="46"/>
        <v>0</v>
      </c>
      <c r="AV62" s="129">
        <f t="shared" si="47"/>
        <v>0</v>
      </c>
      <c r="AW62" s="129" t="str">
        <f t="shared" si="48"/>
        <v>-</v>
      </c>
      <c r="AX62" s="130"/>
      <c r="AY62" s="127" t="str">
        <f t="shared" si="55"/>
        <v>км 0+000 - км 0+000</v>
      </c>
      <c r="AZ62" s="129" t="str">
        <f t="shared" si="56"/>
        <v>-</v>
      </c>
      <c r="BA62" s="131">
        <f t="shared" si="57"/>
        <v>0.5</v>
      </c>
      <c r="BB62" s="130"/>
      <c r="BC62" s="130"/>
      <c r="BD62" s="128" t="str">
        <f t="shared" si="58"/>
        <v>км 0+000 - км 0+000</v>
      </c>
      <c r="BE62" s="131">
        <f t="shared" si="59"/>
        <v>0.5</v>
      </c>
      <c r="BF62" s="154" t="e">
        <f t="shared" ca="1" si="49"/>
        <v>#N/A</v>
      </c>
    </row>
    <row r="63" spans="1:58" ht="16.5" x14ac:dyDescent="0.25">
      <c r="A63" s="110">
        <f t="shared" si="23"/>
        <v>0</v>
      </c>
      <c r="B63" s="110"/>
      <c r="C63" s="111">
        <f t="shared" si="22"/>
        <v>0</v>
      </c>
      <c r="D63" s="155"/>
      <c r="E63" s="156"/>
      <c r="F63" s="156"/>
      <c r="G63" s="157"/>
      <c r="H63" s="157"/>
      <c r="I63" s="157"/>
      <c r="J63" s="157"/>
      <c r="K63" s="157"/>
      <c r="L63" s="157"/>
      <c r="M63" s="158"/>
      <c r="N63" s="159" t="str">
        <f>IFERROR(VLOOKUP($F63,Лист1!$A$4:$F$72,2,FALSE),"")</f>
        <v/>
      </c>
      <c r="O63" s="159" t="str">
        <f>IFERROR(VLOOKUP($G63,Лист1!$A$4:$F$72,2,FALSE),"")</f>
        <v/>
      </c>
      <c r="P63" s="160" t="str">
        <f>IFERROR(VLOOKUP($H63,Лист1!$A$4:$F$72,2,FALSE),"")</f>
        <v/>
      </c>
      <c r="Q63" s="160" t="str">
        <f>IFERROR(VLOOKUP($I63,Лист1!$A$4:$F$72,2,FALSE),"")</f>
        <v/>
      </c>
      <c r="R63" s="160" t="str">
        <f>IFERROR(VLOOKUP($J63,Лист1!$A$4:$F$72,2,FALSE),"")</f>
        <v/>
      </c>
      <c r="S63" s="160" t="str">
        <f>IFERROR(VLOOKUP($K63,Лист1!$A$4:$F$72,2,FALSE),"")</f>
        <v/>
      </c>
      <c r="T63" s="160" t="str">
        <f>IFERROR(VLOOKUP($L63,Лист1!$A$4:$F$72,2,FALSE),"")</f>
        <v/>
      </c>
      <c r="U63" s="160" t="str">
        <f t="shared" si="50"/>
        <v/>
      </c>
      <c r="V63" s="161" t="str">
        <f>IFERROR(VLOOKUP($F63,Лист1!$A$4:$F$72,3,FALSE),"")</f>
        <v/>
      </c>
      <c r="W63" s="162" t="str">
        <f>IFERROR(VLOOKUP($G63,Лист1!$A$4:$F$72,3,FALSE),"")</f>
        <v/>
      </c>
      <c r="X63" s="162" t="str">
        <f>IFERROR(VLOOKUP($H63,Лист1!$A$4:$F$72,3,FALSE),"")</f>
        <v/>
      </c>
      <c r="Y63" s="162" t="str">
        <f>IFERROR(VLOOKUP($I63,Лист1!$A$4:$F$72,3,FALSE),"")</f>
        <v/>
      </c>
      <c r="Z63" s="162" t="str">
        <f>IFERROR(VLOOKUP($J63,Лист1!$A$4:$F$72,3,FALSE),"")</f>
        <v/>
      </c>
      <c r="AA63" s="162" t="str">
        <f>IFERROR(VLOOKUP($K63,Лист1!$A$4:$F$72,3,FALSE),"")</f>
        <v/>
      </c>
      <c r="AB63" s="162" t="str">
        <f>IFERROR(VLOOKUP($L63,Лист1!$A$4:$F$72,3,FALSE),"")</f>
        <v/>
      </c>
      <c r="AC63" s="162" t="str">
        <f>IFERROR(VLOOKUP($M63,Лист1!$A$4:$F$72,3,FALSE),"")</f>
        <v/>
      </c>
      <c r="AD63" s="163">
        <f t="shared" si="35"/>
        <v>0</v>
      </c>
      <c r="AE63" s="164">
        <f t="shared" si="36"/>
        <v>0</v>
      </c>
      <c r="AF63" s="165">
        <f t="shared" si="37"/>
        <v>0</v>
      </c>
      <c r="AG63" s="165">
        <f t="shared" si="38"/>
        <v>0</v>
      </c>
      <c r="AH63" s="165">
        <f t="shared" si="39"/>
        <v>0</v>
      </c>
      <c r="AI63" s="166">
        <f t="shared" si="40"/>
        <v>0</v>
      </c>
      <c r="AJ63" s="166" t="str">
        <f t="shared" si="51"/>
        <v>000</v>
      </c>
      <c r="AK63" s="166" t="str">
        <f t="shared" si="52"/>
        <v>000</v>
      </c>
      <c r="AL63" s="167"/>
      <c r="AM63" s="168" t="str">
        <f t="shared" si="41"/>
        <v>км 0+000 - км 0+000</v>
      </c>
      <c r="AN63" s="169" t="str">
        <f t="shared" si="53"/>
        <v/>
      </c>
      <c r="AO63" s="170" t="e">
        <f t="shared" si="54"/>
        <v>#VALUE!</v>
      </c>
      <c r="AP63" s="171">
        <f t="shared" si="42"/>
        <v>0</v>
      </c>
      <c r="AQ63" s="172">
        <f t="shared" si="43"/>
        <v>0</v>
      </c>
      <c r="AR63" s="173"/>
      <c r="AS63" s="174">
        <f t="shared" si="44"/>
        <v>0</v>
      </c>
      <c r="AT63" s="174">
        <f t="shared" si="45"/>
        <v>0</v>
      </c>
      <c r="AU63" s="175">
        <f t="shared" si="46"/>
        <v>0</v>
      </c>
      <c r="AV63" s="176">
        <f t="shared" si="47"/>
        <v>0</v>
      </c>
      <c r="AW63" s="176" t="str">
        <f t="shared" si="48"/>
        <v>-</v>
      </c>
      <c r="AX63" s="177"/>
      <c r="AY63" s="178" t="str">
        <f t="shared" si="55"/>
        <v>км 0+000 - км 0+000</v>
      </c>
      <c r="AZ63" s="179" t="str">
        <f t="shared" si="56"/>
        <v>-</v>
      </c>
      <c r="BA63" s="180">
        <f t="shared" si="57"/>
        <v>0.5</v>
      </c>
      <c r="BB63" s="177"/>
      <c r="BC63" s="177"/>
      <c r="BD63" s="175" t="str">
        <f t="shared" si="58"/>
        <v>км 0+000 - км 0+000</v>
      </c>
      <c r="BE63" s="181">
        <f t="shared" si="59"/>
        <v>0.5</v>
      </c>
      <c r="BF63" s="182" t="e">
        <f t="shared" ca="1" si="49"/>
        <v>#N/A</v>
      </c>
    </row>
    <row r="64" spans="1:58" ht="16.5" x14ac:dyDescent="0.25">
      <c r="A64" s="110">
        <f t="shared" si="23"/>
        <v>0</v>
      </c>
      <c r="B64" s="110"/>
      <c r="C64" s="111">
        <f t="shared" si="22"/>
        <v>0</v>
      </c>
      <c r="D64" s="112"/>
      <c r="E64" s="113"/>
      <c r="F64" s="113"/>
      <c r="G64" s="113"/>
      <c r="H64" s="113"/>
      <c r="I64" s="113"/>
      <c r="J64" s="113"/>
      <c r="K64" s="113"/>
      <c r="L64" s="113"/>
      <c r="M64" s="114"/>
      <c r="N64" s="147" t="str">
        <f>IFERROR(VLOOKUP($F64,Лист1!$A$4:$F$72,2,FALSE),"")</f>
        <v/>
      </c>
      <c r="O64" s="147" t="str">
        <f>IFERROR(VLOOKUP($G64,Лист1!$A$4:$F$72,2,FALSE),"")</f>
        <v/>
      </c>
      <c r="P64" s="115" t="str">
        <f>IFERROR(VLOOKUP($H64,Лист1!$A$4:$F$72,2,FALSE),"")</f>
        <v/>
      </c>
      <c r="Q64" s="115" t="str">
        <f>IFERROR(VLOOKUP($I64,Лист1!$A$4:$F$72,2,FALSE),"")</f>
        <v/>
      </c>
      <c r="R64" s="115" t="str">
        <f>IFERROR(VLOOKUP($J64,Лист1!$A$4:$F$72,2,FALSE),"")</f>
        <v/>
      </c>
      <c r="S64" s="115" t="str">
        <f>IFERROR(VLOOKUP($K64,Лист1!$A$4:$F$72,2,FALSE),"")</f>
        <v/>
      </c>
      <c r="T64" s="115" t="str">
        <f>IFERROR(VLOOKUP($L64,Лист1!$A$4:$F$72,2,FALSE),"")</f>
        <v/>
      </c>
      <c r="U64" s="115" t="str">
        <f t="shared" si="50"/>
        <v/>
      </c>
      <c r="V64" s="148" t="str">
        <f>IFERROR(VLOOKUP($F64,Лист1!$A$4:$F$72,3,FALSE),"")</f>
        <v/>
      </c>
      <c r="W64" s="116" t="str">
        <f>IFERROR(VLOOKUP($G64,Лист1!$A$4:$F$72,3,FALSE),"")</f>
        <v/>
      </c>
      <c r="X64" s="116" t="str">
        <f>IFERROR(VLOOKUP($H64,Лист1!$A$4:$F$72,3,FALSE),"")</f>
        <v/>
      </c>
      <c r="Y64" s="116" t="str">
        <f>IFERROR(VLOOKUP($I64,Лист1!$A$4:$F$72,3,FALSE),"")</f>
        <v/>
      </c>
      <c r="Z64" s="116" t="str">
        <f>IFERROR(VLOOKUP($J64,Лист1!$A$4:$F$72,3,FALSE),"")</f>
        <v/>
      </c>
      <c r="AA64" s="116" t="str">
        <f>IFERROR(VLOOKUP($K64,Лист1!$A$4:$F$72,3,FALSE),"")</f>
        <v/>
      </c>
      <c r="AB64" s="116" t="str">
        <f>IFERROR(VLOOKUP($L64,Лист1!$A$4:$F$72,3,FALSE),"")</f>
        <v/>
      </c>
      <c r="AC64" s="116" t="str">
        <f>IFERROR(VLOOKUP($M64,Лист1!$A$4:$F$72,3,FALSE),"")</f>
        <v/>
      </c>
      <c r="AD64" s="152">
        <f t="shared" si="35"/>
        <v>0</v>
      </c>
      <c r="AE64" s="118">
        <f t="shared" si="36"/>
        <v>0</v>
      </c>
      <c r="AF64" s="119">
        <f t="shared" si="37"/>
        <v>0</v>
      </c>
      <c r="AG64" s="119">
        <f t="shared" si="38"/>
        <v>0</v>
      </c>
      <c r="AH64" s="119">
        <f t="shared" si="39"/>
        <v>0</v>
      </c>
      <c r="AI64" s="121">
        <f t="shared" si="40"/>
        <v>0</v>
      </c>
      <c r="AJ64" s="121" t="str">
        <f t="shared" si="51"/>
        <v>000</v>
      </c>
      <c r="AK64" s="121" t="str">
        <f t="shared" si="52"/>
        <v>000</v>
      </c>
      <c r="AL64" s="122"/>
      <c r="AM64" s="123" t="str">
        <f t="shared" si="41"/>
        <v>км 0+000 - км 0+000</v>
      </c>
      <c r="AN64" s="124" t="str">
        <f t="shared" si="53"/>
        <v/>
      </c>
      <c r="AO64" s="153" t="e">
        <f t="shared" si="54"/>
        <v>#VALUE!</v>
      </c>
      <c r="AP64" s="125">
        <f t="shared" si="42"/>
        <v>0</v>
      </c>
      <c r="AQ64" s="120">
        <f t="shared" si="43"/>
        <v>0</v>
      </c>
      <c r="AR64" s="126"/>
      <c r="AS64" s="127">
        <f t="shared" si="44"/>
        <v>0</v>
      </c>
      <c r="AT64" s="127">
        <f t="shared" si="45"/>
        <v>0</v>
      </c>
      <c r="AU64" s="128">
        <f t="shared" si="46"/>
        <v>0</v>
      </c>
      <c r="AV64" s="129">
        <f t="shared" si="47"/>
        <v>0</v>
      </c>
      <c r="AW64" s="129" t="str">
        <f t="shared" si="48"/>
        <v>-</v>
      </c>
      <c r="AX64" s="130"/>
      <c r="AY64" s="127" t="str">
        <f t="shared" si="55"/>
        <v>км 0+000 - км 0+000</v>
      </c>
      <c r="AZ64" s="129" t="str">
        <f t="shared" si="56"/>
        <v>-</v>
      </c>
      <c r="BA64" s="131">
        <f t="shared" si="57"/>
        <v>0.5</v>
      </c>
      <c r="BB64" s="130"/>
      <c r="BC64" s="130"/>
      <c r="BD64" s="128" t="str">
        <f t="shared" si="58"/>
        <v>км 0+000 - км 0+000</v>
      </c>
      <c r="BE64" s="131">
        <f t="shared" si="59"/>
        <v>0.5</v>
      </c>
      <c r="BF64" s="154" t="e">
        <f t="shared" ca="1" si="49"/>
        <v>#N/A</v>
      </c>
    </row>
    <row r="65" spans="1:58" ht="16.5" x14ac:dyDescent="0.25">
      <c r="A65" s="110">
        <f t="shared" si="23"/>
        <v>0</v>
      </c>
      <c r="B65" s="110"/>
      <c r="C65" s="111">
        <f t="shared" si="22"/>
        <v>0</v>
      </c>
      <c r="D65" s="155"/>
      <c r="E65" s="156"/>
      <c r="F65" s="156"/>
      <c r="G65" s="157"/>
      <c r="H65" s="157"/>
      <c r="I65" s="157"/>
      <c r="J65" s="157"/>
      <c r="K65" s="157"/>
      <c r="L65" s="157"/>
      <c r="M65" s="158"/>
      <c r="N65" s="159" t="str">
        <f>IFERROR(VLOOKUP($F65,Лист1!$A$4:$F$72,2,FALSE),"")</f>
        <v/>
      </c>
      <c r="O65" s="159" t="str">
        <f>IFERROR(VLOOKUP($G65,Лист1!$A$4:$F$72,2,FALSE),"")</f>
        <v/>
      </c>
      <c r="P65" s="160" t="str">
        <f>IFERROR(VLOOKUP($H65,Лист1!$A$4:$F$72,2,FALSE),"")</f>
        <v/>
      </c>
      <c r="Q65" s="160" t="str">
        <f>IFERROR(VLOOKUP($I65,Лист1!$A$4:$F$72,2,FALSE),"")</f>
        <v/>
      </c>
      <c r="R65" s="160" t="str">
        <f>IFERROR(VLOOKUP($J65,Лист1!$A$4:$F$72,2,FALSE),"")</f>
        <v/>
      </c>
      <c r="S65" s="160" t="str">
        <f>IFERROR(VLOOKUP($K65,Лист1!$A$4:$F$72,2,FALSE),"")</f>
        <v/>
      </c>
      <c r="T65" s="160" t="str">
        <f>IFERROR(VLOOKUP($L65,Лист1!$A$4:$F$72,2,FALSE),"")</f>
        <v/>
      </c>
      <c r="U65" s="160" t="str">
        <f t="shared" si="50"/>
        <v/>
      </c>
      <c r="V65" s="161" t="str">
        <f>IFERROR(VLOOKUP($F65,Лист1!$A$4:$F$72,3,FALSE),"")</f>
        <v/>
      </c>
      <c r="W65" s="162" t="str">
        <f>IFERROR(VLOOKUP($G65,Лист1!$A$4:$F$72,3,FALSE),"")</f>
        <v/>
      </c>
      <c r="X65" s="162" t="str">
        <f>IFERROR(VLOOKUP($H65,Лист1!$A$4:$F$72,3,FALSE),"")</f>
        <v/>
      </c>
      <c r="Y65" s="162" t="str">
        <f>IFERROR(VLOOKUP($I65,Лист1!$A$4:$F$72,3,FALSE),"")</f>
        <v/>
      </c>
      <c r="Z65" s="162" t="str">
        <f>IFERROR(VLOOKUP($J65,Лист1!$A$4:$F$72,3,FALSE),"")</f>
        <v/>
      </c>
      <c r="AA65" s="162" t="str">
        <f>IFERROR(VLOOKUP($K65,Лист1!$A$4:$F$72,3,FALSE),"")</f>
        <v/>
      </c>
      <c r="AB65" s="162" t="str">
        <f>IFERROR(VLOOKUP($L65,Лист1!$A$4:$F$72,3,FALSE),"")</f>
        <v/>
      </c>
      <c r="AC65" s="162" t="str">
        <f>IFERROR(VLOOKUP($M65,Лист1!$A$4:$F$72,3,FALSE),"")</f>
        <v/>
      </c>
      <c r="AD65" s="163">
        <f t="shared" si="35"/>
        <v>0</v>
      </c>
      <c r="AE65" s="164">
        <f t="shared" si="36"/>
        <v>0</v>
      </c>
      <c r="AF65" s="165">
        <f t="shared" si="37"/>
        <v>0</v>
      </c>
      <c r="AG65" s="165">
        <f t="shared" si="38"/>
        <v>0</v>
      </c>
      <c r="AH65" s="165">
        <f t="shared" si="39"/>
        <v>0</v>
      </c>
      <c r="AI65" s="166">
        <f t="shared" si="40"/>
        <v>0</v>
      </c>
      <c r="AJ65" s="166" t="str">
        <f t="shared" si="51"/>
        <v>000</v>
      </c>
      <c r="AK65" s="166" t="str">
        <f t="shared" si="52"/>
        <v>000</v>
      </c>
      <c r="AL65" s="167"/>
      <c r="AM65" s="168" t="str">
        <f t="shared" si="41"/>
        <v>км 0+000 - км 0+000</v>
      </c>
      <c r="AN65" s="169" t="str">
        <f t="shared" si="53"/>
        <v/>
      </c>
      <c r="AO65" s="170" t="e">
        <f t="shared" si="54"/>
        <v>#VALUE!</v>
      </c>
      <c r="AP65" s="171">
        <f t="shared" si="42"/>
        <v>0</v>
      </c>
      <c r="AQ65" s="172">
        <f t="shared" si="43"/>
        <v>0</v>
      </c>
      <c r="AR65" s="173"/>
      <c r="AS65" s="174">
        <f t="shared" si="44"/>
        <v>0</v>
      </c>
      <c r="AT65" s="174">
        <f t="shared" si="45"/>
        <v>0</v>
      </c>
      <c r="AU65" s="175">
        <f t="shared" si="46"/>
        <v>0</v>
      </c>
      <c r="AV65" s="176">
        <f t="shared" si="47"/>
        <v>0</v>
      </c>
      <c r="AW65" s="176" t="str">
        <f t="shared" si="48"/>
        <v>-</v>
      </c>
      <c r="AX65" s="177"/>
      <c r="AY65" s="178" t="str">
        <f t="shared" si="55"/>
        <v>км 0+000 - км 0+000</v>
      </c>
      <c r="AZ65" s="179" t="str">
        <f t="shared" si="56"/>
        <v>-</v>
      </c>
      <c r="BA65" s="180">
        <f t="shared" si="57"/>
        <v>0.5</v>
      </c>
      <c r="BB65" s="177"/>
      <c r="BC65" s="177"/>
      <c r="BD65" s="175" t="str">
        <f t="shared" si="58"/>
        <v>км 0+000 - км 0+000</v>
      </c>
      <c r="BE65" s="181">
        <f t="shared" si="59"/>
        <v>0.5</v>
      </c>
      <c r="BF65" s="182" t="e">
        <f t="shared" ca="1" si="49"/>
        <v>#N/A</v>
      </c>
    </row>
    <row r="66" spans="1:58" ht="16.5" x14ac:dyDescent="0.25">
      <c r="A66" s="110">
        <f t="shared" si="23"/>
        <v>0</v>
      </c>
      <c r="B66" s="110"/>
      <c r="C66" s="111">
        <f t="shared" si="22"/>
        <v>0</v>
      </c>
      <c r="D66" s="112"/>
      <c r="E66" s="113"/>
      <c r="F66" s="113"/>
      <c r="G66" s="113"/>
      <c r="H66" s="113"/>
      <c r="I66" s="113"/>
      <c r="J66" s="113"/>
      <c r="K66" s="113"/>
      <c r="L66" s="113"/>
      <c r="M66" s="114"/>
      <c r="N66" s="147" t="str">
        <f>IFERROR(VLOOKUP($F66,Лист1!$A$4:$F$72,2,FALSE),"")</f>
        <v/>
      </c>
      <c r="O66" s="147" t="str">
        <f>IFERROR(VLOOKUP($G66,Лист1!$A$4:$F$72,2,FALSE),"")</f>
        <v/>
      </c>
      <c r="P66" s="115" t="str">
        <f>IFERROR(VLOOKUP($H66,Лист1!$A$4:$F$72,2,FALSE),"")</f>
        <v/>
      </c>
      <c r="Q66" s="115" t="str">
        <f>IFERROR(VLOOKUP($I66,Лист1!$A$4:$F$72,2,FALSE),"")</f>
        <v/>
      </c>
      <c r="R66" s="115" t="str">
        <f>IFERROR(VLOOKUP($J66,Лист1!$A$4:$F$72,2,FALSE),"")</f>
        <v/>
      </c>
      <c r="S66" s="115" t="str">
        <f>IFERROR(VLOOKUP($K66,Лист1!$A$4:$F$72,2,FALSE),"")</f>
        <v/>
      </c>
      <c r="T66" s="115" t="str">
        <f>IFERROR(VLOOKUP($L66,Лист1!$A$4:$F$72,2,FALSE),"")</f>
        <v/>
      </c>
      <c r="U66" s="115" t="str">
        <f t="shared" si="50"/>
        <v/>
      </c>
      <c r="V66" s="148" t="str">
        <f>IFERROR(VLOOKUP($F66,Лист1!$A$4:$F$72,3,FALSE),"")</f>
        <v/>
      </c>
      <c r="W66" s="116" t="str">
        <f>IFERROR(VLOOKUP($G66,Лист1!$A$4:$F$72,3,FALSE),"")</f>
        <v/>
      </c>
      <c r="X66" s="116" t="str">
        <f>IFERROR(VLOOKUP($H66,Лист1!$A$4:$F$72,3,FALSE),"")</f>
        <v/>
      </c>
      <c r="Y66" s="116" t="str">
        <f>IFERROR(VLOOKUP($I66,Лист1!$A$4:$F$72,3,FALSE),"")</f>
        <v/>
      </c>
      <c r="Z66" s="116" t="str">
        <f>IFERROR(VLOOKUP($J66,Лист1!$A$4:$F$72,3,FALSE),"")</f>
        <v/>
      </c>
      <c r="AA66" s="116" t="str">
        <f>IFERROR(VLOOKUP($K66,Лист1!$A$4:$F$72,3,FALSE),"")</f>
        <v/>
      </c>
      <c r="AB66" s="116" t="str">
        <f>IFERROR(VLOOKUP($L66,Лист1!$A$4:$F$72,3,FALSE),"")</f>
        <v/>
      </c>
      <c r="AC66" s="116" t="str">
        <f>IFERROR(VLOOKUP($M66,Лист1!$A$4:$F$72,3,FALSE),"")</f>
        <v/>
      </c>
      <c r="AD66" s="152">
        <f t="shared" si="35"/>
        <v>0</v>
      </c>
      <c r="AE66" s="118">
        <f t="shared" si="36"/>
        <v>0</v>
      </c>
      <c r="AF66" s="119">
        <f t="shared" si="37"/>
        <v>0</v>
      </c>
      <c r="AG66" s="119">
        <f t="shared" si="38"/>
        <v>0</v>
      </c>
      <c r="AH66" s="119">
        <f t="shared" si="39"/>
        <v>0</v>
      </c>
      <c r="AI66" s="121">
        <f t="shared" si="40"/>
        <v>0</v>
      </c>
      <c r="AJ66" s="121" t="str">
        <f t="shared" si="51"/>
        <v>000</v>
      </c>
      <c r="AK66" s="121" t="str">
        <f t="shared" si="52"/>
        <v>000</v>
      </c>
      <c r="AL66" s="122"/>
      <c r="AM66" s="123" t="str">
        <f t="shared" si="41"/>
        <v>км 0+000 - км 0+000</v>
      </c>
      <c r="AN66" s="124" t="str">
        <f t="shared" si="53"/>
        <v/>
      </c>
      <c r="AO66" s="153" t="e">
        <f t="shared" si="54"/>
        <v>#VALUE!</v>
      </c>
      <c r="AP66" s="125">
        <f t="shared" si="42"/>
        <v>0</v>
      </c>
      <c r="AQ66" s="120">
        <f t="shared" si="43"/>
        <v>0</v>
      </c>
      <c r="AR66" s="126"/>
      <c r="AS66" s="127">
        <f t="shared" si="44"/>
        <v>0</v>
      </c>
      <c r="AT66" s="127">
        <f t="shared" si="45"/>
        <v>0</v>
      </c>
      <c r="AU66" s="128">
        <f t="shared" si="46"/>
        <v>0</v>
      </c>
      <c r="AV66" s="129">
        <f t="shared" si="47"/>
        <v>0</v>
      </c>
      <c r="AW66" s="129" t="str">
        <f t="shared" si="48"/>
        <v>-</v>
      </c>
      <c r="AX66" s="130"/>
      <c r="AY66" s="127" t="str">
        <f t="shared" si="55"/>
        <v>км 0+000 - км 0+000</v>
      </c>
      <c r="AZ66" s="129" t="str">
        <f t="shared" si="56"/>
        <v>-</v>
      </c>
      <c r="BA66" s="131">
        <f t="shared" si="57"/>
        <v>0.5</v>
      </c>
      <c r="BB66" s="130"/>
      <c r="BC66" s="130"/>
      <c r="BD66" s="128" t="str">
        <f t="shared" si="58"/>
        <v>км 0+000 - км 0+000</v>
      </c>
      <c r="BE66" s="131">
        <f t="shared" si="59"/>
        <v>0.5</v>
      </c>
      <c r="BF66" s="154" t="e">
        <f t="shared" ca="1" si="49"/>
        <v>#N/A</v>
      </c>
    </row>
    <row r="67" spans="1:58" ht="16.5" x14ac:dyDescent="0.25">
      <c r="A67" s="110">
        <f t="shared" si="23"/>
        <v>0</v>
      </c>
      <c r="B67" s="110"/>
      <c r="C67" s="111">
        <f t="shared" si="22"/>
        <v>0</v>
      </c>
      <c r="D67" s="155"/>
      <c r="E67" s="156"/>
      <c r="F67" s="156"/>
      <c r="G67" s="157"/>
      <c r="H67" s="157"/>
      <c r="I67" s="157"/>
      <c r="J67" s="157"/>
      <c r="K67" s="157"/>
      <c r="L67" s="157"/>
      <c r="M67" s="158"/>
      <c r="N67" s="159" t="str">
        <f>IFERROR(VLOOKUP($F67,Лист1!$A$4:$F$72,2,FALSE),"")</f>
        <v/>
      </c>
      <c r="O67" s="159" t="str">
        <f>IFERROR(VLOOKUP($G67,Лист1!$A$4:$F$72,2,FALSE),"")</f>
        <v/>
      </c>
      <c r="P67" s="160" t="str">
        <f>IFERROR(VLOOKUP($H67,Лист1!$A$4:$F$72,2,FALSE),"")</f>
        <v/>
      </c>
      <c r="Q67" s="160" t="str">
        <f>IFERROR(VLOOKUP($I67,Лист1!$A$4:$F$72,2,FALSE),"")</f>
        <v/>
      </c>
      <c r="R67" s="160" t="str">
        <f>IFERROR(VLOOKUP($J67,Лист1!$A$4:$F$72,2,FALSE),"")</f>
        <v/>
      </c>
      <c r="S67" s="160" t="str">
        <f>IFERROR(VLOOKUP($K67,Лист1!$A$4:$F$72,2,FALSE),"")</f>
        <v/>
      </c>
      <c r="T67" s="160" t="str">
        <f>IFERROR(VLOOKUP($L67,Лист1!$A$4:$F$72,2,FALSE),"")</f>
        <v/>
      </c>
      <c r="U67" s="160" t="str">
        <f t="shared" si="50"/>
        <v/>
      </c>
      <c r="V67" s="161" t="str">
        <f>IFERROR(VLOOKUP($F67,Лист1!$A$4:$F$72,3,FALSE),"")</f>
        <v/>
      </c>
      <c r="W67" s="162" t="str">
        <f>IFERROR(VLOOKUP($G67,Лист1!$A$4:$F$72,3,FALSE),"")</f>
        <v/>
      </c>
      <c r="X67" s="162" t="str">
        <f>IFERROR(VLOOKUP($H67,Лист1!$A$4:$F$72,3,FALSE),"")</f>
        <v/>
      </c>
      <c r="Y67" s="162" t="str">
        <f>IFERROR(VLOOKUP($I67,Лист1!$A$4:$F$72,3,FALSE),"")</f>
        <v/>
      </c>
      <c r="Z67" s="162" t="str">
        <f>IFERROR(VLOOKUP($J67,Лист1!$A$4:$F$72,3,FALSE),"")</f>
        <v/>
      </c>
      <c r="AA67" s="162" t="str">
        <f>IFERROR(VLOOKUP($K67,Лист1!$A$4:$F$72,3,FALSE),"")</f>
        <v/>
      </c>
      <c r="AB67" s="162" t="str">
        <f>IFERROR(VLOOKUP($L67,Лист1!$A$4:$F$72,3,FALSE),"")</f>
        <v/>
      </c>
      <c r="AC67" s="162" t="str">
        <f>IFERROR(VLOOKUP($M67,Лист1!$A$4:$F$72,3,FALSE),"")</f>
        <v/>
      </c>
      <c r="AD67" s="163">
        <f t="shared" si="35"/>
        <v>0</v>
      </c>
      <c r="AE67" s="164">
        <f t="shared" si="36"/>
        <v>0</v>
      </c>
      <c r="AF67" s="165">
        <f t="shared" si="37"/>
        <v>0</v>
      </c>
      <c r="AG67" s="165">
        <f t="shared" si="38"/>
        <v>0</v>
      </c>
      <c r="AH67" s="165">
        <f t="shared" si="39"/>
        <v>0</v>
      </c>
      <c r="AI67" s="166">
        <f t="shared" si="40"/>
        <v>0</v>
      </c>
      <c r="AJ67" s="166" t="str">
        <f t="shared" si="51"/>
        <v>000</v>
      </c>
      <c r="AK67" s="166" t="str">
        <f t="shared" si="52"/>
        <v>000</v>
      </c>
      <c r="AL67" s="167"/>
      <c r="AM67" s="168" t="str">
        <f t="shared" si="41"/>
        <v>км 0+000 - км 0+000</v>
      </c>
      <c r="AN67" s="169" t="str">
        <f t="shared" si="53"/>
        <v/>
      </c>
      <c r="AO67" s="170" t="e">
        <f t="shared" si="54"/>
        <v>#VALUE!</v>
      </c>
      <c r="AP67" s="171">
        <f t="shared" si="42"/>
        <v>0</v>
      </c>
      <c r="AQ67" s="172">
        <f t="shared" si="43"/>
        <v>0</v>
      </c>
      <c r="AR67" s="173"/>
      <c r="AS67" s="174">
        <f t="shared" si="44"/>
        <v>0</v>
      </c>
      <c r="AT67" s="174">
        <f t="shared" si="45"/>
        <v>0</v>
      </c>
      <c r="AU67" s="175">
        <f t="shared" si="46"/>
        <v>0</v>
      </c>
      <c r="AV67" s="176">
        <f t="shared" si="47"/>
        <v>0</v>
      </c>
      <c r="AW67" s="176" t="str">
        <f t="shared" si="48"/>
        <v>-</v>
      </c>
      <c r="AX67" s="177"/>
      <c r="AY67" s="178" t="str">
        <f t="shared" si="55"/>
        <v>км 0+000 - км 0+000</v>
      </c>
      <c r="AZ67" s="179" t="str">
        <f t="shared" si="56"/>
        <v>-</v>
      </c>
      <c r="BA67" s="180">
        <f t="shared" si="57"/>
        <v>0.5</v>
      </c>
      <c r="BB67" s="177"/>
      <c r="BC67" s="177"/>
      <c r="BD67" s="175" t="str">
        <f t="shared" si="58"/>
        <v>км 0+000 - км 0+000</v>
      </c>
      <c r="BE67" s="181">
        <f t="shared" si="59"/>
        <v>0.5</v>
      </c>
      <c r="BF67" s="182" t="e">
        <f t="shared" ca="1" si="49"/>
        <v>#N/A</v>
      </c>
    </row>
    <row r="68" spans="1:58" ht="16.5" x14ac:dyDescent="0.25">
      <c r="A68" s="110">
        <f t="shared" si="23"/>
        <v>0</v>
      </c>
      <c r="B68" s="110"/>
      <c r="C68" s="111">
        <f t="shared" si="22"/>
        <v>0</v>
      </c>
      <c r="D68" s="112"/>
      <c r="E68" s="113"/>
      <c r="F68" s="113"/>
      <c r="G68" s="113"/>
      <c r="H68" s="113"/>
      <c r="I68" s="113"/>
      <c r="J68" s="113"/>
      <c r="K68" s="113"/>
      <c r="L68" s="113"/>
      <c r="M68" s="114"/>
      <c r="N68" s="147" t="str">
        <f>IFERROR(VLOOKUP($F68,Лист1!$A$4:$F$72,2,FALSE),"")</f>
        <v/>
      </c>
      <c r="O68" s="147" t="str">
        <f>IFERROR(VLOOKUP($G68,Лист1!$A$4:$F$72,2,FALSE),"")</f>
        <v/>
      </c>
      <c r="P68" s="115" t="str">
        <f>IFERROR(VLOOKUP($H68,Лист1!$A$4:$F$72,2,FALSE),"")</f>
        <v/>
      </c>
      <c r="Q68" s="115" t="str">
        <f>IFERROR(VLOOKUP($I68,Лист1!$A$4:$F$72,2,FALSE),"")</f>
        <v/>
      </c>
      <c r="R68" s="115" t="str">
        <f>IFERROR(VLOOKUP($J68,Лист1!$A$4:$F$72,2,FALSE),"")</f>
        <v/>
      </c>
      <c r="S68" s="115" t="str">
        <f>IFERROR(VLOOKUP($K68,Лист1!$A$4:$F$72,2,FALSE),"")</f>
        <v/>
      </c>
      <c r="T68" s="115" t="str">
        <f>IFERROR(VLOOKUP($L68,Лист1!$A$4:$F$72,2,FALSE),"")</f>
        <v/>
      </c>
      <c r="U68" s="115" t="str">
        <f t="shared" si="50"/>
        <v/>
      </c>
      <c r="V68" s="148" t="str">
        <f>IFERROR(VLOOKUP($F68,Лист1!$A$4:$F$72,3,FALSE),"")</f>
        <v/>
      </c>
      <c r="W68" s="116" t="str">
        <f>IFERROR(VLOOKUP($G68,Лист1!$A$4:$F$72,3,FALSE),"")</f>
        <v/>
      </c>
      <c r="X68" s="116" t="str">
        <f>IFERROR(VLOOKUP($H68,Лист1!$A$4:$F$72,3,FALSE),"")</f>
        <v/>
      </c>
      <c r="Y68" s="116" t="str">
        <f>IFERROR(VLOOKUP($I68,Лист1!$A$4:$F$72,3,FALSE),"")</f>
        <v/>
      </c>
      <c r="Z68" s="116" t="str">
        <f>IFERROR(VLOOKUP($J68,Лист1!$A$4:$F$72,3,FALSE),"")</f>
        <v/>
      </c>
      <c r="AA68" s="116" t="str">
        <f>IFERROR(VLOOKUP($K68,Лист1!$A$4:$F$72,3,FALSE),"")</f>
        <v/>
      </c>
      <c r="AB68" s="116" t="str">
        <f>IFERROR(VLOOKUP($L68,Лист1!$A$4:$F$72,3,FALSE),"")</f>
        <v/>
      </c>
      <c r="AC68" s="116" t="str">
        <f>IFERROR(VLOOKUP($M68,Лист1!$A$4:$F$72,3,FALSE),"")</f>
        <v/>
      </c>
      <c r="AD68" s="152">
        <f t="shared" si="35"/>
        <v>0</v>
      </c>
      <c r="AE68" s="118">
        <f t="shared" si="36"/>
        <v>0</v>
      </c>
      <c r="AF68" s="119">
        <f t="shared" si="37"/>
        <v>0</v>
      </c>
      <c r="AG68" s="119">
        <f t="shared" si="38"/>
        <v>0</v>
      </c>
      <c r="AH68" s="119">
        <f t="shared" si="39"/>
        <v>0</v>
      </c>
      <c r="AI68" s="121">
        <f t="shared" si="40"/>
        <v>0</v>
      </c>
      <c r="AJ68" s="121" t="str">
        <f t="shared" si="51"/>
        <v>000</v>
      </c>
      <c r="AK68" s="121" t="str">
        <f t="shared" si="52"/>
        <v>000</v>
      </c>
      <c r="AL68" s="122"/>
      <c r="AM68" s="123" t="str">
        <f t="shared" si="41"/>
        <v>км 0+000 - км 0+000</v>
      </c>
      <c r="AN68" s="124" t="str">
        <f t="shared" si="53"/>
        <v/>
      </c>
      <c r="AO68" s="153" t="e">
        <f t="shared" si="54"/>
        <v>#VALUE!</v>
      </c>
      <c r="AP68" s="125">
        <f t="shared" si="42"/>
        <v>0</v>
      </c>
      <c r="AQ68" s="120">
        <f t="shared" si="43"/>
        <v>0</v>
      </c>
      <c r="AR68" s="126"/>
      <c r="AS68" s="127">
        <f t="shared" si="44"/>
        <v>0</v>
      </c>
      <c r="AT68" s="127">
        <f t="shared" si="45"/>
        <v>0</v>
      </c>
      <c r="AU68" s="128">
        <f t="shared" si="46"/>
        <v>0</v>
      </c>
      <c r="AV68" s="129">
        <f t="shared" si="47"/>
        <v>0</v>
      </c>
      <c r="AW68" s="129" t="str">
        <f t="shared" si="48"/>
        <v>-</v>
      </c>
      <c r="AX68" s="130"/>
      <c r="AY68" s="127" t="str">
        <f t="shared" si="55"/>
        <v>км 0+000 - км 0+000</v>
      </c>
      <c r="AZ68" s="129" t="str">
        <f t="shared" si="56"/>
        <v>-</v>
      </c>
      <c r="BA68" s="131">
        <f t="shared" si="57"/>
        <v>0.5</v>
      </c>
      <c r="BB68" s="130"/>
      <c r="BC68" s="130"/>
      <c r="BD68" s="128" t="str">
        <f t="shared" si="58"/>
        <v>км 0+000 - км 0+000</v>
      </c>
      <c r="BE68" s="131">
        <f t="shared" si="59"/>
        <v>0.5</v>
      </c>
      <c r="BF68" s="154" t="e">
        <f t="shared" ca="1" si="49"/>
        <v>#N/A</v>
      </c>
    </row>
    <row r="69" spans="1:58" ht="16.5" x14ac:dyDescent="0.25">
      <c r="A69" s="110">
        <f t="shared" si="23"/>
        <v>0</v>
      </c>
      <c r="B69" s="110"/>
      <c r="C69" s="111">
        <f t="shared" si="22"/>
        <v>0</v>
      </c>
      <c r="D69" s="155"/>
      <c r="E69" s="156"/>
      <c r="F69" s="156"/>
      <c r="G69" s="157"/>
      <c r="H69" s="157"/>
      <c r="I69" s="157"/>
      <c r="J69" s="157"/>
      <c r="K69" s="157"/>
      <c r="L69" s="157"/>
      <c r="M69" s="158"/>
      <c r="N69" s="159" t="str">
        <f>IFERROR(VLOOKUP($F69,Лист1!$A$4:$F$72,2,FALSE),"")</f>
        <v/>
      </c>
      <c r="O69" s="159" t="str">
        <f>IFERROR(VLOOKUP($G69,Лист1!$A$4:$F$72,2,FALSE),"")</f>
        <v/>
      </c>
      <c r="P69" s="160" t="str">
        <f>IFERROR(VLOOKUP($H69,Лист1!$A$4:$F$72,2,FALSE),"")</f>
        <v/>
      </c>
      <c r="Q69" s="160" t="str">
        <f>IFERROR(VLOOKUP($I69,Лист1!$A$4:$F$72,2,FALSE),"")</f>
        <v/>
      </c>
      <c r="R69" s="160" t="str">
        <f>IFERROR(VLOOKUP($J69,Лист1!$A$4:$F$72,2,FALSE),"")</f>
        <v/>
      </c>
      <c r="S69" s="160" t="str">
        <f>IFERROR(VLOOKUP($K69,Лист1!$A$4:$F$72,2,FALSE),"")</f>
        <v/>
      </c>
      <c r="T69" s="160" t="str">
        <f>IFERROR(VLOOKUP($L69,Лист1!$A$4:$F$72,2,FALSE),"")</f>
        <v/>
      </c>
      <c r="U69" s="160" t="str">
        <f t="shared" si="50"/>
        <v/>
      </c>
      <c r="V69" s="161" t="str">
        <f>IFERROR(VLOOKUP($F69,Лист1!$A$4:$F$72,3,FALSE),"")</f>
        <v/>
      </c>
      <c r="W69" s="162" t="str">
        <f>IFERROR(VLOOKUP($G69,Лист1!$A$4:$F$72,3,FALSE),"")</f>
        <v/>
      </c>
      <c r="X69" s="162" t="str">
        <f>IFERROR(VLOOKUP($H69,Лист1!$A$4:$F$72,3,FALSE),"")</f>
        <v/>
      </c>
      <c r="Y69" s="162" t="str">
        <f>IFERROR(VLOOKUP($I69,Лист1!$A$4:$F$72,3,FALSE),"")</f>
        <v/>
      </c>
      <c r="Z69" s="162" t="str">
        <f>IFERROR(VLOOKUP($J69,Лист1!$A$4:$F$72,3,FALSE),"")</f>
        <v/>
      </c>
      <c r="AA69" s="162" t="str">
        <f>IFERROR(VLOOKUP($K69,Лист1!$A$4:$F$72,3,FALSE),"")</f>
        <v/>
      </c>
      <c r="AB69" s="162" t="str">
        <f>IFERROR(VLOOKUP($L69,Лист1!$A$4:$F$72,3,FALSE),"")</f>
        <v/>
      </c>
      <c r="AC69" s="162" t="str">
        <f>IFERROR(VLOOKUP($M69,Лист1!$A$4:$F$72,3,FALSE),"")</f>
        <v/>
      </c>
      <c r="AD69" s="163">
        <f t="shared" si="35"/>
        <v>0</v>
      </c>
      <c r="AE69" s="164">
        <f t="shared" si="36"/>
        <v>0</v>
      </c>
      <c r="AF69" s="165">
        <f t="shared" si="37"/>
        <v>0</v>
      </c>
      <c r="AG69" s="165">
        <f t="shared" si="38"/>
        <v>0</v>
      </c>
      <c r="AH69" s="165">
        <f t="shared" si="39"/>
        <v>0</v>
      </c>
      <c r="AI69" s="166">
        <f t="shared" si="40"/>
        <v>0</v>
      </c>
      <c r="AJ69" s="166" t="str">
        <f t="shared" si="51"/>
        <v>000</v>
      </c>
      <c r="AK69" s="166" t="str">
        <f t="shared" si="52"/>
        <v>000</v>
      </c>
      <c r="AL69" s="167"/>
      <c r="AM69" s="168" t="str">
        <f t="shared" si="41"/>
        <v>км 0+000 - км 0+000</v>
      </c>
      <c r="AN69" s="169" t="str">
        <f t="shared" si="53"/>
        <v/>
      </c>
      <c r="AO69" s="170" t="e">
        <f t="shared" si="54"/>
        <v>#VALUE!</v>
      </c>
      <c r="AP69" s="171">
        <f t="shared" si="42"/>
        <v>0</v>
      </c>
      <c r="AQ69" s="172">
        <f t="shared" si="43"/>
        <v>0</v>
      </c>
      <c r="AR69" s="173"/>
      <c r="AS69" s="174">
        <f t="shared" si="44"/>
        <v>0</v>
      </c>
      <c r="AT69" s="174">
        <f t="shared" si="45"/>
        <v>0</v>
      </c>
      <c r="AU69" s="175">
        <f t="shared" si="46"/>
        <v>0</v>
      </c>
      <c r="AV69" s="176">
        <f t="shared" si="47"/>
        <v>0</v>
      </c>
      <c r="AW69" s="176" t="str">
        <f t="shared" si="48"/>
        <v>-</v>
      </c>
      <c r="AX69" s="177"/>
      <c r="AY69" s="178" t="str">
        <f t="shared" si="55"/>
        <v>км 0+000 - км 0+000</v>
      </c>
      <c r="AZ69" s="179" t="str">
        <f t="shared" si="56"/>
        <v>-</v>
      </c>
      <c r="BA69" s="180">
        <f t="shared" si="57"/>
        <v>0.5</v>
      </c>
      <c r="BB69" s="177"/>
      <c r="BC69" s="177"/>
      <c r="BD69" s="175" t="str">
        <f t="shared" si="58"/>
        <v>км 0+000 - км 0+000</v>
      </c>
      <c r="BE69" s="181">
        <f t="shared" si="59"/>
        <v>0.5</v>
      </c>
      <c r="BF69" s="182" t="e">
        <f t="shared" ca="1" si="49"/>
        <v>#N/A</v>
      </c>
    </row>
    <row r="70" spans="1:58" ht="16.5" x14ac:dyDescent="0.25">
      <c r="A70" s="110">
        <f t="shared" si="23"/>
        <v>0</v>
      </c>
      <c r="B70" s="110"/>
      <c r="C70" s="111">
        <f t="shared" si="22"/>
        <v>0</v>
      </c>
      <c r="D70" s="112"/>
      <c r="E70" s="113"/>
      <c r="F70" s="113"/>
      <c r="G70" s="113"/>
      <c r="H70" s="113"/>
      <c r="I70" s="113"/>
      <c r="J70" s="113"/>
      <c r="K70" s="113"/>
      <c r="L70" s="113"/>
      <c r="M70" s="114"/>
      <c r="N70" s="147" t="str">
        <f>IFERROR(VLOOKUP($F70,Лист1!$A$4:$F$72,2,FALSE),"")</f>
        <v/>
      </c>
      <c r="O70" s="147" t="str">
        <f>IFERROR(VLOOKUP($G70,Лист1!$A$4:$F$72,2,FALSE),"")</f>
        <v/>
      </c>
      <c r="P70" s="115" t="str">
        <f>IFERROR(VLOOKUP($H70,Лист1!$A$4:$F$72,2,FALSE),"")</f>
        <v/>
      </c>
      <c r="Q70" s="115" t="str">
        <f>IFERROR(VLOOKUP($I70,Лист1!$A$4:$F$72,2,FALSE),"")</f>
        <v/>
      </c>
      <c r="R70" s="115" t="str">
        <f>IFERROR(VLOOKUP($J70,Лист1!$A$4:$F$72,2,FALSE),"")</f>
        <v/>
      </c>
      <c r="S70" s="115" t="str">
        <f>IFERROR(VLOOKUP($K70,Лист1!$A$4:$F$72,2,FALSE),"")</f>
        <v/>
      </c>
      <c r="T70" s="115" t="str">
        <f>IFERROR(VLOOKUP($L70,Лист1!$A$4:$F$72,2,FALSE),"")</f>
        <v/>
      </c>
      <c r="U70" s="115" t="str">
        <f t="shared" si="50"/>
        <v/>
      </c>
      <c r="V70" s="148" t="str">
        <f>IFERROR(VLOOKUP($F70,Лист1!$A$4:$F$72,3,FALSE),"")</f>
        <v/>
      </c>
      <c r="W70" s="116" t="str">
        <f>IFERROR(VLOOKUP($G70,Лист1!$A$4:$F$72,3,FALSE),"")</f>
        <v/>
      </c>
      <c r="X70" s="116" t="str">
        <f>IFERROR(VLOOKUP($H70,Лист1!$A$4:$F$72,3,FALSE),"")</f>
        <v/>
      </c>
      <c r="Y70" s="116" t="str">
        <f>IFERROR(VLOOKUP($I70,Лист1!$A$4:$F$72,3,FALSE),"")</f>
        <v/>
      </c>
      <c r="Z70" s="116" t="str">
        <f>IFERROR(VLOOKUP($J70,Лист1!$A$4:$F$72,3,FALSE),"")</f>
        <v/>
      </c>
      <c r="AA70" s="116" t="str">
        <f>IFERROR(VLOOKUP($K70,Лист1!$A$4:$F$72,3,FALSE),"")</f>
        <v/>
      </c>
      <c r="AB70" s="116" t="str">
        <f>IFERROR(VLOOKUP($L70,Лист1!$A$4:$F$72,3,FALSE),"")</f>
        <v/>
      </c>
      <c r="AC70" s="116" t="str">
        <f>IFERROR(VLOOKUP($M70,Лист1!$A$4:$F$72,3,FALSE),"")</f>
        <v/>
      </c>
      <c r="AD70" s="152">
        <f t="shared" si="35"/>
        <v>0</v>
      </c>
      <c r="AE70" s="118">
        <f t="shared" si="36"/>
        <v>0</v>
      </c>
      <c r="AF70" s="119">
        <f t="shared" si="37"/>
        <v>0</v>
      </c>
      <c r="AG70" s="119">
        <f t="shared" si="38"/>
        <v>0</v>
      </c>
      <c r="AH70" s="119">
        <f t="shared" si="39"/>
        <v>0</v>
      </c>
      <c r="AI70" s="121">
        <f t="shared" si="40"/>
        <v>0</v>
      </c>
      <c r="AJ70" s="121" t="str">
        <f t="shared" si="51"/>
        <v>000</v>
      </c>
      <c r="AK70" s="121" t="str">
        <f t="shared" si="52"/>
        <v>000</v>
      </c>
      <c r="AL70" s="122"/>
      <c r="AM70" s="123" t="str">
        <f t="shared" si="41"/>
        <v>км 0+000 - км 0+000</v>
      </c>
      <c r="AN70" s="124" t="str">
        <f t="shared" si="53"/>
        <v/>
      </c>
      <c r="AO70" s="153" t="e">
        <f t="shared" si="54"/>
        <v>#VALUE!</v>
      </c>
      <c r="AP70" s="125">
        <f t="shared" si="42"/>
        <v>0</v>
      </c>
      <c r="AQ70" s="120">
        <f t="shared" si="43"/>
        <v>0</v>
      </c>
      <c r="AR70" s="126"/>
      <c r="AS70" s="127">
        <f t="shared" si="44"/>
        <v>0</v>
      </c>
      <c r="AT70" s="127">
        <f t="shared" si="45"/>
        <v>0</v>
      </c>
      <c r="AU70" s="128">
        <f t="shared" si="46"/>
        <v>0</v>
      </c>
      <c r="AV70" s="129">
        <f t="shared" si="47"/>
        <v>0</v>
      </c>
      <c r="AW70" s="129" t="str">
        <f t="shared" si="48"/>
        <v>-</v>
      </c>
      <c r="AX70" s="130"/>
      <c r="AY70" s="127" t="str">
        <f t="shared" si="55"/>
        <v>км 0+000 - км 0+000</v>
      </c>
      <c r="AZ70" s="129" t="str">
        <f t="shared" si="56"/>
        <v>-</v>
      </c>
      <c r="BA70" s="131">
        <f t="shared" si="57"/>
        <v>0.5</v>
      </c>
      <c r="BB70" s="130"/>
      <c r="BC70" s="130"/>
      <c r="BD70" s="128" t="str">
        <f t="shared" si="58"/>
        <v>км 0+000 - км 0+000</v>
      </c>
      <c r="BE70" s="131">
        <f t="shared" si="59"/>
        <v>0.5</v>
      </c>
      <c r="BF70" s="154" t="e">
        <f t="shared" ca="1" si="49"/>
        <v>#N/A</v>
      </c>
    </row>
    <row r="71" spans="1:58" ht="16.5" x14ac:dyDescent="0.25">
      <c r="A71" s="110">
        <f t="shared" si="23"/>
        <v>0</v>
      </c>
      <c r="B71" s="110"/>
      <c r="C71" s="111">
        <f t="shared" si="22"/>
        <v>0</v>
      </c>
      <c r="D71" s="155"/>
      <c r="E71" s="156"/>
      <c r="F71" s="156"/>
      <c r="G71" s="157"/>
      <c r="H71" s="157"/>
      <c r="I71" s="157"/>
      <c r="J71" s="157"/>
      <c r="K71" s="157"/>
      <c r="L71" s="157"/>
      <c r="M71" s="158"/>
      <c r="N71" s="159" t="str">
        <f>IFERROR(VLOOKUP($F71,Лист1!$A$4:$F$72,2,FALSE),"")</f>
        <v/>
      </c>
      <c r="O71" s="159" t="str">
        <f>IFERROR(VLOOKUP($G71,Лист1!$A$4:$F$72,2,FALSE),"")</f>
        <v/>
      </c>
      <c r="P71" s="160" t="str">
        <f>IFERROR(VLOOKUP($H71,Лист1!$A$4:$F$72,2,FALSE),"")</f>
        <v/>
      </c>
      <c r="Q71" s="160" t="str">
        <f>IFERROR(VLOOKUP($I71,Лист1!$A$4:$F$72,2,FALSE),"")</f>
        <v/>
      </c>
      <c r="R71" s="160" t="str">
        <f>IFERROR(VLOOKUP($J71,Лист1!$A$4:$F$72,2,FALSE),"")</f>
        <v/>
      </c>
      <c r="S71" s="160" t="str">
        <f>IFERROR(VLOOKUP($K71,Лист1!$A$4:$F$72,2,FALSE),"")</f>
        <v/>
      </c>
      <c r="T71" s="160" t="str">
        <f>IFERROR(VLOOKUP($L71,Лист1!$A$4:$F$72,2,FALSE),"")</f>
        <v/>
      </c>
      <c r="U71" s="160" t="str">
        <f t="shared" si="50"/>
        <v/>
      </c>
      <c r="V71" s="161" t="str">
        <f>IFERROR(VLOOKUP($F71,Лист1!$A$4:$F$72,3,FALSE),"")</f>
        <v/>
      </c>
      <c r="W71" s="162" t="str">
        <f>IFERROR(VLOOKUP($G71,Лист1!$A$4:$F$72,3,FALSE),"")</f>
        <v/>
      </c>
      <c r="X71" s="162" t="str">
        <f>IFERROR(VLOOKUP($H71,Лист1!$A$4:$F$72,3,FALSE),"")</f>
        <v/>
      </c>
      <c r="Y71" s="162" t="str">
        <f>IFERROR(VLOOKUP($I71,Лист1!$A$4:$F$72,3,FALSE),"")</f>
        <v/>
      </c>
      <c r="Z71" s="162" t="str">
        <f>IFERROR(VLOOKUP($J71,Лист1!$A$4:$F$72,3,FALSE),"")</f>
        <v/>
      </c>
      <c r="AA71" s="162" t="str">
        <f>IFERROR(VLOOKUP($K71,Лист1!$A$4:$F$72,3,FALSE),"")</f>
        <v/>
      </c>
      <c r="AB71" s="162" t="str">
        <f>IFERROR(VLOOKUP($L71,Лист1!$A$4:$F$72,3,FALSE),"")</f>
        <v/>
      </c>
      <c r="AC71" s="162" t="str">
        <f>IFERROR(VLOOKUP($M71,Лист1!$A$4:$F$72,3,FALSE),"")</f>
        <v/>
      </c>
      <c r="AD71" s="163">
        <f t="shared" si="35"/>
        <v>0</v>
      </c>
      <c r="AE71" s="164">
        <f t="shared" si="36"/>
        <v>0</v>
      </c>
      <c r="AF71" s="165">
        <f t="shared" si="37"/>
        <v>0</v>
      </c>
      <c r="AG71" s="165">
        <f t="shared" si="38"/>
        <v>0</v>
      </c>
      <c r="AH71" s="165">
        <f t="shared" si="39"/>
        <v>0</v>
      </c>
      <c r="AI71" s="166">
        <f t="shared" si="40"/>
        <v>0</v>
      </c>
      <c r="AJ71" s="166" t="str">
        <f t="shared" si="51"/>
        <v>000</v>
      </c>
      <c r="AK71" s="166" t="str">
        <f t="shared" si="52"/>
        <v>000</v>
      </c>
      <c r="AL71" s="167"/>
      <c r="AM71" s="168" t="str">
        <f t="shared" si="41"/>
        <v>км 0+000 - км 0+000</v>
      </c>
      <c r="AN71" s="169" t="str">
        <f t="shared" si="53"/>
        <v/>
      </c>
      <c r="AO71" s="170" t="e">
        <f t="shared" si="54"/>
        <v>#VALUE!</v>
      </c>
      <c r="AP71" s="171">
        <f t="shared" si="42"/>
        <v>0</v>
      </c>
      <c r="AQ71" s="172">
        <f t="shared" si="43"/>
        <v>0</v>
      </c>
      <c r="AR71" s="173"/>
      <c r="AS71" s="174">
        <f t="shared" si="44"/>
        <v>0</v>
      </c>
      <c r="AT71" s="174">
        <f t="shared" si="45"/>
        <v>0</v>
      </c>
      <c r="AU71" s="175">
        <f t="shared" si="46"/>
        <v>0</v>
      </c>
      <c r="AV71" s="176">
        <f t="shared" si="47"/>
        <v>0</v>
      </c>
      <c r="AW71" s="176" t="str">
        <f t="shared" si="48"/>
        <v>-</v>
      </c>
      <c r="AX71" s="177"/>
      <c r="AY71" s="178" t="str">
        <f t="shared" si="55"/>
        <v>км 0+000 - км 0+000</v>
      </c>
      <c r="AZ71" s="179" t="str">
        <f t="shared" si="56"/>
        <v>-</v>
      </c>
      <c r="BA71" s="180">
        <f t="shared" si="57"/>
        <v>0.5</v>
      </c>
      <c r="BB71" s="177"/>
      <c r="BC71" s="177"/>
      <c r="BD71" s="175" t="str">
        <f t="shared" si="58"/>
        <v>км 0+000 - км 0+000</v>
      </c>
      <c r="BE71" s="181">
        <f t="shared" si="59"/>
        <v>0.5</v>
      </c>
      <c r="BF71" s="182" t="e">
        <f t="shared" ca="1" si="49"/>
        <v>#N/A</v>
      </c>
    </row>
    <row r="72" spans="1:58" ht="16.5" x14ac:dyDescent="0.25">
      <c r="A72" s="110">
        <f t="shared" si="23"/>
        <v>0</v>
      </c>
      <c r="B72" s="110"/>
      <c r="C72" s="111">
        <f t="shared" si="22"/>
        <v>0</v>
      </c>
      <c r="D72" s="112"/>
      <c r="E72" s="113"/>
      <c r="F72" s="113"/>
      <c r="G72" s="113"/>
      <c r="H72" s="113"/>
      <c r="I72" s="113"/>
      <c r="J72" s="113"/>
      <c r="K72" s="113"/>
      <c r="L72" s="113"/>
      <c r="M72" s="114"/>
      <c r="N72" s="147" t="str">
        <f>IFERROR(VLOOKUP($F72,Лист1!$A$4:$F$72,2,FALSE),"")</f>
        <v/>
      </c>
      <c r="O72" s="147" t="str">
        <f>IFERROR(VLOOKUP($G72,Лист1!$A$4:$F$72,2,FALSE),"")</f>
        <v/>
      </c>
      <c r="P72" s="115" t="str">
        <f>IFERROR(VLOOKUP($H72,Лист1!$A$4:$F$72,2,FALSE),"")</f>
        <v/>
      </c>
      <c r="Q72" s="115" t="str">
        <f>IFERROR(VLOOKUP($I72,Лист1!$A$4:$F$72,2,FALSE),"")</f>
        <v/>
      </c>
      <c r="R72" s="115" t="str">
        <f>IFERROR(VLOOKUP($J72,Лист1!$A$4:$F$72,2,FALSE),"")</f>
        <v/>
      </c>
      <c r="S72" s="115" t="str">
        <f>IFERROR(VLOOKUP($K72,Лист1!$A$4:$F$72,2,FALSE),"")</f>
        <v/>
      </c>
      <c r="T72" s="115" t="str">
        <f>IFERROR(VLOOKUP($L72,Лист1!$A$4:$F$72,2,FALSE),"")</f>
        <v/>
      </c>
      <c r="U72" s="115" t="str">
        <f t="shared" si="50"/>
        <v/>
      </c>
      <c r="V72" s="148" t="str">
        <f>IFERROR(VLOOKUP($F72,Лист1!$A$4:$F$72,3,FALSE),"")</f>
        <v/>
      </c>
      <c r="W72" s="116" t="str">
        <f>IFERROR(VLOOKUP($G72,Лист1!$A$4:$F$72,3,FALSE),"")</f>
        <v/>
      </c>
      <c r="X72" s="116" t="str">
        <f>IFERROR(VLOOKUP($H72,Лист1!$A$4:$F$72,3,FALSE),"")</f>
        <v/>
      </c>
      <c r="Y72" s="116" t="str">
        <f>IFERROR(VLOOKUP($I72,Лист1!$A$4:$F$72,3,FALSE),"")</f>
        <v/>
      </c>
      <c r="Z72" s="116" t="str">
        <f>IFERROR(VLOOKUP($J72,Лист1!$A$4:$F$72,3,FALSE),"")</f>
        <v/>
      </c>
      <c r="AA72" s="116" t="str">
        <f>IFERROR(VLOOKUP($K72,Лист1!$A$4:$F$72,3,FALSE),"")</f>
        <v/>
      </c>
      <c r="AB72" s="116" t="str">
        <f>IFERROR(VLOOKUP($L72,Лист1!$A$4:$F$72,3,FALSE),"")</f>
        <v/>
      </c>
      <c r="AC72" s="116" t="str">
        <f>IFERROR(VLOOKUP($M72,Лист1!$A$4:$F$72,3,FALSE),"")</f>
        <v/>
      </c>
      <c r="AD72" s="152">
        <f t="shared" si="35"/>
        <v>0</v>
      </c>
      <c r="AE72" s="118">
        <f t="shared" si="36"/>
        <v>0</v>
      </c>
      <c r="AF72" s="119">
        <f t="shared" si="37"/>
        <v>0</v>
      </c>
      <c r="AG72" s="119">
        <f t="shared" si="38"/>
        <v>0</v>
      </c>
      <c r="AH72" s="119">
        <f t="shared" si="39"/>
        <v>0</v>
      </c>
      <c r="AI72" s="121">
        <f t="shared" si="40"/>
        <v>0</v>
      </c>
      <c r="AJ72" s="121" t="str">
        <f t="shared" si="51"/>
        <v>000</v>
      </c>
      <c r="AK72" s="121" t="str">
        <f t="shared" si="52"/>
        <v>000</v>
      </c>
      <c r="AL72" s="122"/>
      <c r="AM72" s="123" t="str">
        <f t="shared" si="41"/>
        <v>км 0+000 - км 0+000</v>
      </c>
      <c r="AN72" s="124" t="str">
        <f t="shared" si="53"/>
        <v/>
      </c>
      <c r="AO72" s="153" t="e">
        <f t="shared" si="54"/>
        <v>#VALUE!</v>
      </c>
      <c r="AP72" s="125">
        <f t="shared" si="42"/>
        <v>0</v>
      </c>
      <c r="AQ72" s="120">
        <f t="shared" si="43"/>
        <v>0</v>
      </c>
      <c r="AR72" s="126"/>
      <c r="AS72" s="127">
        <f t="shared" si="44"/>
        <v>0</v>
      </c>
      <c r="AT72" s="127">
        <f t="shared" si="45"/>
        <v>0</v>
      </c>
      <c r="AU72" s="128">
        <f t="shared" si="46"/>
        <v>0</v>
      </c>
      <c r="AV72" s="129">
        <f t="shared" si="47"/>
        <v>0</v>
      </c>
      <c r="AW72" s="129" t="str">
        <f t="shared" si="48"/>
        <v>-</v>
      </c>
      <c r="AX72" s="130"/>
      <c r="AY72" s="127" t="str">
        <f t="shared" si="55"/>
        <v>км 0+000 - км 0+000</v>
      </c>
      <c r="AZ72" s="129" t="str">
        <f t="shared" si="56"/>
        <v>-</v>
      </c>
      <c r="BA72" s="131">
        <f t="shared" si="57"/>
        <v>0.5</v>
      </c>
      <c r="BB72" s="130"/>
      <c r="BC72" s="130"/>
      <c r="BD72" s="128" t="str">
        <f t="shared" si="58"/>
        <v>км 0+000 - км 0+000</v>
      </c>
      <c r="BE72" s="131">
        <f t="shared" si="59"/>
        <v>0.5</v>
      </c>
      <c r="BF72" s="154" t="e">
        <f t="shared" ca="1" si="49"/>
        <v>#N/A</v>
      </c>
    </row>
    <row r="73" spans="1:58" ht="16.5" x14ac:dyDescent="0.25">
      <c r="A73" s="110">
        <f t="shared" si="23"/>
        <v>0</v>
      </c>
      <c r="B73" s="110"/>
      <c r="C73" s="111">
        <f t="shared" si="22"/>
        <v>0</v>
      </c>
      <c r="D73" s="155"/>
      <c r="E73" s="156"/>
      <c r="F73" s="156"/>
      <c r="G73" s="157"/>
      <c r="H73" s="157"/>
      <c r="I73" s="157"/>
      <c r="J73" s="157"/>
      <c r="K73" s="157"/>
      <c r="L73" s="157"/>
      <c r="M73" s="158"/>
      <c r="N73" s="159" t="str">
        <f>IFERROR(VLOOKUP($F73,Лист1!$A$4:$F$72,2,FALSE),"")</f>
        <v/>
      </c>
      <c r="O73" s="159" t="str">
        <f>IFERROR(VLOOKUP($G73,Лист1!$A$4:$F$72,2,FALSE),"")</f>
        <v/>
      </c>
      <c r="P73" s="160" t="str">
        <f>IFERROR(VLOOKUP($H73,Лист1!$A$4:$F$72,2,FALSE),"")</f>
        <v/>
      </c>
      <c r="Q73" s="160" t="str">
        <f>IFERROR(VLOOKUP($I73,Лист1!$A$4:$F$72,2,FALSE),"")</f>
        <v/>
      </c>
      <c r="R73" s="160" t="str">
        <f>IFERROR(VLOOKUP($J73,Лист1!$A$4:$F$72,2,FALSE),"")</f>
        <v/>
      </c>
      <c r="S73" s="160" t="str">
        <f>IFERROR(VLOOKUP($K73,Лист1!$A$4:$F$72,2,FALSE),"")</f>
        <v/>
      </c>
      <c r="T73" s="160" t="str">
        <f>IFERROR(VLOOKUP($L73,Лист1!$A$4:$F$72,2,FALSE),"")</f>
        <v/>
      </c>
      <c r="U73" s="160" t="str">
        <f t="shared" si="50"/>
        <v/>
      </c>
      <c r="V73" s="161" t="str">
        <f>IFERROR(VLOOKUP($F73,Лист1!$A$4:$F$72,3,FALSE),"")</f>
        <v/>
      </c>
      <c r="W73" s="162" t="str">
        <f>IFERROR(VLOOKUP($G73,Лист1!$A$4:$F$72,3,FALSE),"")</f>
        <v/>
      </c>
      <c r="X73" s="162" t="str">
        <f>IFERROR(VLOOKUP($H73,Лист1!$A$4:$F$72,3,FALSE),"")</f>
        <v/>
      </c>
      <c r="Y73" s="162" t="str">
        <f>IFERROR(VLOOKUP($I73,Лист1!$A$4:$F$72,3,FALSE),"")</f>
        <v/>
      </c>
      <c r="Z73" s="162" t="str">
        <f>IFERROR(VLOOKUP($J73,Лист1!$A$4:$F$72,3,FALSE),"")</f>
        <v/>
      </c>
      <c r="AA73" s="162" t="str">
        <f>IFERROR(VLOOKUP($K73,Лист1!$A$4:$F$72,3,FALSE),"")</f>
        <v/>
      </c>
      <c r="AB73" s="162" t="str">
        <f>IFERROR(VLOOKUP($L73,Лист1!$A$4:$F$72,3,FALSE),"")</f>
        <v/>
      </c>
      <c r="AC73" s="162" t="str">
        <f>IFERROR(VLOOKUP($M73,Лист1!$A$4:$F$72,3,FALSE),"")</f>
        <v/>
      </c>
      <c r="AD73" s="163">
        <f t="shared" si="35"/>
        <v>0</v>
      </c>
      <c r="AE73" s="164">
        <f t="shared" si="36"/>
        <v>0</v>
      </c>
      <c r="AF73" s="165">
        <f t="shared" si="37"/>
        <v>0</v>
      </c>
      <c r="AG73" s="165">
        <f t="shared" si="38"/>
        <v>0</v>
      </c>
      <c r="AH73" s="165">
        <f t="shared" si="39"/>
        <v>0</v>
      </c>
      <c r="AI73" s="166">
        <f t="shared" si="40"/>
        <v>0</v>
      </c>
      <c r="AJ73" s="166" t="str">
        <f t="shared" si="51"/>
        <v>000</v>
      </c>
      <c r="AK73" s="166" t="str">
        <f t="shared" si="52"/>
        <v>000</v>
      </c>
      <c r="AL73" s="167"/>
      <c r="AM73" s="168" t="str">
        <f t="shared" si="41"/>
        <v>км 0+000 - км 0+000</v>
      </c>
      <c r="AN73" s="169" t="str">
        <f t="shared" si="53"/>
        <v/>
      </c>
      <c r="AO73" s="170" t="e">
        <f t="shared" si="54"/>
        <v>#VALUE!</v>
      </c>
      <c r="AP73" s="171">
        <f t="shared" si="42"/>
        <v>0</v>
      </c>
      <c r="AQ73" s="172">
        <f t="shared" si="43"/>
        <v>0</v>
      </c>
      <c r="AR73" s="173"/>
      <c r="AS73" s="174">
        <f t="shared" si="44"/>
        <v>0</v>
      </c>
      <c r="AT73" s="174">
        <f t="shared" si="45"/>
        <v>0</v>
      </c>
      <c r="AU73" s="175">
        <f t="shared" si="46"/>
        <v>0</v>
      </c>
      <c r="AV73" s="176">
        <f t="shared" si="47"/>
        <v>0</v>
      </c>
      <c r="AW73" s="176" t="str">
        <f t="shared" si="48"/>
        <v>-</v>
      </c>
      <c r="AX73" s="177"/>
      <c r="AY73" s="178" t="str">
        <f t="shared" si="55"/>
        <v>км 0+000 - км 0+000</v>
      </c>
      <c r="AZ73" s="179" t="str">
        <f t="shared" si="56"/>
        <v>-</v>
      </c>
      <c r="BA73" s="180">
        <f t="shared" si="57"/>
        <v>0.5</v>
      </c>
      <c r="BB73" s="177"/>
      <c r="BC73" s="177"/>
      <c r="BD73" s="175" t="str">
        <f t="shared" si="58"/>
        <v>км 0+000 - км 0+000</v>
      </c>
      <c r="BE73" s="181">
        <f t="shared" si="59"/>
        <v>0.5</v>
      </c>
      <c r="BF73" s="182" t="e">
        <f t="shared" ca="1" si="49"/>
        <v>#N/A</v>
      </c>
    </row>
    <row r="74" spans="1:58" ht="16.5" x14ac:dyDescent="0.25">
      <c r="A74" s="110">
        <f t="shared" si="23"/>
        <v>0</v>
      </c>
      <c r="B74" s="110"/>
      <c r="C74" s="111">
        <f t="shared" si="22"/>
        <v>0</v>
      </c>
      <c r="D74" s="112"/>
      <c r="E74" s="113"/>
      <c r="F74" s="113"/>
      <c r="G74" s="113"/>
      <c r="H74" s="113"/>
      <c r="I74" s="113"/>
      <c r="J74" s="113"/>
      <c r="K74" s="113"/>
      <c r="L74" s="113"/>
      <c r="M74" s="114"/>
      <c r="N74" s="147" t="str">
        <f>IFERROR(VLOOKUP($F74,Лист1!$A$4:$F$72,2,FALSE),"")</f>
        <v/>
      </c>
      <c r="O74" s="147" t="str">
        <f>IFERROR(VLOOKUP($G74,Лист1!$A$4:$F$72,2,FALSE),"")</f>
        <v/>
      </c>
      <c r="P74" s="115" t="str">
        <f>IFERROR(VLOOKUP($H74,Лист1!$A$4:$F$72,2,FALSE),"")</f>
        <v/>
      </c>
      <c r="Q74" s="115" t="str">
        <f>IFERROR(VLOOKUP($I74,Лист1!$A$4:$F$72,2,FALSE),"")</f>
        <v/>
      </c>
      <c r="R74" s="115" t="str">
        <f>IFERROR(VLOOKUP($J74,Лист1!$A$4:$F$72,2,FALSE),"")</f>
        <v/>
      </c>
      <c r="S74" s="115" t="str">
        <f>IFERROR(VLOOKUP($K74,Лист1!$A$4:$F$72,2,FALSE),"")</f>
        <v/>
      </c>
      <c r="T74" s="115" t="str">
        <f>IFERROR(VLOOKUP($L74,Лист1!$A$4:$F$72,2,FALSE),"")</f>
        <v/>
      </c>
      <c r="U74" s="115" t="str">
        <f t="shared" si="50"/>
        <v/>
      </c>
      <c r="V74" s="148" t="str">
        <f>IFERROR(VLOOKUP($F74,Лист1!$A$4:$F$72,3,FALSE),"")</f>
        <v/>
      </c>
      <c r="W74" s="116" t="str">
        <f>IFERROR(VLOOKUP($G74,Лист1!$A$4:$F$72,3,FALSE),"")</f>
        <v/>
      </c>
      <c r="X74" s="116" t="str">
        <f>IFERROR(VLOOKUP($H74,Лист1!$A$4:$F$72,3,FALSE),"")</f>
        <v/>
      </c>
      <c r="Y74" s="116" t="str">
        <f>IFERROR(VLOOKUP($I74,Лист1!$A$4:$F$72,3,FALSE),"")</f>
        <v/>
      </c>
      <c r="Z74" s="116" t="str">
        <f>IFERROR(VLOOKUP($J74,Лист1!$A$4:$F$72,3,FALSE),"")</f>
        <v/>
      </c>
      <c r="AA74" s="116" t="str">
        <f>IFERROR(VLOOKUP($K74,Лист1!$A$4:$F$72,3,FALSE),"")</f>
        <v/>
      </c>
      <c r="AB74" s="116" t="str">
        <f>IFERROR(VLOOKUP($L74,Лист1!$A$4:$F$72,3,FALSE),"")</f>
        <v/>
      </c>
      <c r="AC74" s="116" t="str">
        <f>IFERROR(VLOOKUP($M74,Лист1!$A$4:$F$72,3,FALSE),"")</f>
        <v/>
      </c>
      <c r="AD74" s="152">
        <f t="shared" si="35"/>
        <v>0</v>
      </c>
      <c r="AE74" s="118">
        <f t="shared" si="36"/>
        <v>0</v>
      </c>
      <c r="AF74" s="119">
        <f t="shared" si="37"/>
        <v>0</v>
      </c>
      <c r="AG74" s="119">
        <f t="shared" si="38"/>
        <v>0</v>
      </c>
      <c r="AH74" s="119">
        <f t="shared" si="39"/>
        <v>0</v>
      </c>
      <c r="AI74" s="121">
        <f t="shared" si="40"/>
        <v>0</v>
      </c>
      <c r="AJ74" s="121" t="str">
        <f t="shared" si="51"/>
        <v>000</v>
      </c>
      <c r="AK74" s="121" t="str">
        <f t="shared" si="52"/>
        <v>000</v>
      </c>
      <c r="AL74" s="122"/>
      <c r="AM74" s="123" t="str">
        <f t="shared" si="41"/>
        <v>км 0+000 - км 0+000</v>
      </c>
      <c r="AN74" s="124" t="str">
        <f t="shared" si="53"/>
        <v/>
      </c>
      <c r="AO74" s="153" t="e">
        <f t="shared" si="54"/>
        <v>#VALUE!</v>
      </c>
      <c r="AP74" s="125">
        <f t="shared" si="42"/>
        <v>0</v>
      </c>
      <c r="AQ74" s="120">
        <f t="shared" si="43"/>
        <v>0</v>
      </c>
      <c r="AR74" s="126"/>
      <c r="AS74" s="127">
        <f t="shared" si="44"/>
        <v>0</v>
      </c>
      <c r="AT74" s="127">
        <f t="shared" si="45"/>
        <v>0</v>
      </c>
      <c r="AU74" s="128">
        <f t="shared" si="46"/>
        <v>0</v>
      </c>
      <c r="AV74" s="129">
        <f t="shared" si="47"/>
        <v>0</v>
      </c>
      <c r="AW74" s="129" t="str">
        <f t="shared" si="48"/>
        <v>-</v>
      </c>
      <c r="AX74" s="130"/>
      <c r="AY74" s="127" t="str">
        <f t="shared" si="55"/>
        <v>км 0+000 - км 0+000</v>
      </c>
      <c r="AZ74" s="129" t="str">
        <f t="shared" si="56"/>
        <v>-</v>
      </c>
      <c r="BA74" s="131">
        <f t="shared" si="57"/>
        <v>0.5</v>
      </c>
      <c r="BB74" s="130"/>
      <c r="BC74" s="130"/>
      <c r="BD74" s="128" t="str">
        <f t="shared" si="58"/>
        <v>км 0+000 - км 0+000</v>
      </c>
      <c r="BE74" s="131">
        <f t="shared" si="59"/>
        <v>0.5</v>
      </c>
      <c r="BF74" s="154" t="e">
        <f t="shared" ca="1" si="49"/>
        <v>#N/A</v>
      </c>
    </row>
    <row r="75" spans="1:58" ht="16.5" x14ac:dyDescent="0.25">
      <c r="A75" s="110">
        <f t="shared" si="23"/>
        <v>0</v>
      </c>
      <c r="B75" s="110"/>
      <c r="C75" s="111">
        <f t="shared" si="22"/>
        <v>0</v>
      </c>
      <c r="D75" s="155"/>
      <c r="E75" s="156"/>
      <c r="F75" s="156"/>
      <c r="G75" s="157"/>
      <c r="H75" s="157"/>
      <c r="I75" s="157"/>
      <c r="J75" s="157"/>
      <c r="K75" s="157"/>
      <c r="L75" s="157"/>
      <c r="M75" s="158"/>
      <c r="N75" s="159" t="str">
        <f>IFERROR(VLOOKUP($F75,Лист1!$A$4:$F$72,2,FALSE),"")</f>
        <v/>
      </c>
      <c r="O75" s="159" t="str">
        <f>IFERROR(VLOOKUP($G75,Лист1!$A$4:$F$72,2,FALSE),"")</f>
        <v/>
      </c>
      <c r="P75" s="160" t="str">
        <f>IFERROR(VLOOKUP($H75,Лист1!$A$4:$F$72,2,FALSE),"")</f>
        <v/>
      </c>
      <c r="Q75" s="160" t="str">
        <f>IFERROR(VLOOKUP($I75,Лист1!$A$4:$F$72,2,FALSE),"")</f>
        <v/>
      </c>
      <c r="R75" s="160" t="str">
        <f>IFERROR(VLOOKUP($J75,Лист1!$A$4:$F$72,2,FALSE),"")</f>
        <v/>
      </c>
      <c r="S75" s="160" t="str">
        <f>IFERROR(VLOOKUP($K75,Лист1!$A$4:$F$72,2,FALSE),"")</f>
        <v/>
      </c>
      <c r="T75" s="160" t="str">
        <f>IFERROR(VLOOKUP($L75,Лист1!$A$4:$F$72,2,FALSE),"")</f>
        <v/>
      </c>
      <c r="U75" s="160" t="str">
        <f t="shared" si="50"/>
        <v/>
      </c>
      <c r="V75" s="161" t="str">
        <f>IFERROR(VLOOKUP($F75,Лист1!$A$4:$F$72,3,FALSE),"")</f>
        <v/>
      </c>
      <c r="W75" s="162" t="str">
        <f>IFERROR(VLOOKUP($G75,Лист1!$A$4:$F$72,3,FALSE),"")</f>
        <v/>
      </c>
      <c r="X75" s="162" t="str">
        <f>IFERROR(VLOOKUP($H75,Лист1!$A$4:$F$72,3,FALSE),"")</f>
        <v/>
      </c>
      <c r="Y75" s="162" t="str">
        <f>IFERROR(VLOOKUP($I75,Лист1!$A$4:$F$72,3,FALSE),"")</f>
        <v/>
      </c>
      <c r="Z75" s="162" t="str">
        <f>IFERROR(VLOOKUP($J75,Лист1!$A$4:$F$72,3,FALSE),"")</f>
        <v/>
      </c>
      <c r="AA75" s="162" t="str">
        <f>IFERROR(VLOOKUP($K75,Лист1!$A$4:$F$72,3,FALSE),"")</f>
        <v/>
      </c>
      <c r="AB75" s="162" t="str">
        <f>IFERROR(VLOOKUP($L75,Лист1!$A$4:$F$72,3,FALSE),"")</f>
        <v/>
      </c>
      <c r="AC75" s="162" t="str">
        <f>IFERROR(VLOOKUP($M75,Лист1!$A$4:$F$72,3,FALSE),"")</f>
        <v/>
      </c>
      <c r="AD75" s="163">
        <f t="shared" si="35"/>
        <v>0</v>
      </c>
      <c r="AE75" s="164">
        <f t="shared" si="36"/>
        <v>0</v>
      </c>
      <c r="AF75" s="165">
        <f t="shared" si="37"/>
        <v>0</v>
      </c>
      <c r="AG75" s="165">
        <f t="shared" si="38"/>
        <v>0</v>
      </c>
      <c r="AH75" s="165">
        <f t="shared" si="39"/>
        <v>0</v>
      </c>
      <c r="AI75" s="166">
        <f t="shared" si="40"/>
        <v>0</v>
      </c>
      <c r="AJ75" s="166" t="str">
        <f t="shared" si="51"/>
        <v>000</v>
      </c>
      <c r="AK75" s="166" t="str">
        <f t="shared" si="52"/>
        <v>000</v>
      </c>
      <c r="AL75" s="167"/>
      <c r="AM75" s="168" t="str">
        <f t="shared" si="41"/>
        <v>км 0+000 - км 0+000</v>
      </c>
      <c r="AN75" s="169" t="str">
        <f t="shared" si="53"/>
        <v/>
      </c>
      <c r="AO75" s="170" t="e">
        <f t="shared" si="54"/>
        <v>#VALUE!</v>
      </c>
      <c r="AP75" s="171">
        <f t="shared" si="42"/>
        <v>0</v>
      </c>
      <c r="AQ75" s="172">
        <f t="shared" si="43"/>
        <v>0</v>
      </c>
      <c r="AR75" s="173"/>
      <c r="AS75" s="174">
        <f t="shared" si="44"/>
        <v>0</v>
      </c>
      <c r="AT75" s="174">
        <f t="shared" si="45"/>
        <v>0</v>
      </c>
      <c r="AU75" s="175">
        <f t="shared" si="46"/>
        <v>0</v>
      </c>
      <c r="AV75" s="176">
        <f t="shared" si="47"/>
        <v>0</v>
      </c>
      <c r="AW75" s="176" t="str">
        <f t="shared" si="48"/>
        <v>-</v>
      </c>
      <c r="AX75" s="177"/>
      <c r="AY75" s="178" t="str">
        <f t="shared" si="55"/>
        <v>км 0+000 - км 0+000</v>
      </c>
      <c r="AZ75" s="179" t="str">
        <f t="shared" si="56"/>
        <v>-</v>
      </c>
      <c r="BA75" s="180">
        <f t="shared" si="57"/>
        <v>0.5</v>
      </c>
      <c r="BB75" s="177"/>
      <c r="BC75" s="177"/>
      <c r="BD75" s="175" t="str">
        <f t="shared" si="58"/>
        <v>км 0+000 - км 0+000</v>
      </c>
      <c r="BE75" s="181">
        <f t="shared" si="59"/>
        <v>0.5</v>
      </c>
      <c r="BF75" s="182" t="e">
        <f t="shared" ca="1" si="49"/>
        <v>#N/A</v>
      </c>
    </row>
    <row r="76" spans="1:58" ht="16.5" x14ac:dyDescent="0.25">
      <c r="A76" s="110">
        <f t="shared" si="23"/>
        <v>0</v>
      </c>
      <c r="B76" s="110"/>
      <c r="C76" s="111">
        <f t="shared" si="22"/>
        <v>0</v>
      </c>
      <c r="D76" s="112"/>
      <c r="E76" s="113"/>
      <c r="F76" s="113"/>
      <c r="G76" s="113"/>
      <c r="H76" s="113"/>
      <c r="I76" s="113"/>
      <c r="J76" s="113"/>
      <c r="K76" s="113"/>
      <c r="L76" s="113"/>
      <c r="M76" s="114"/>
      <c r="N76" s="147" t="str">
        <f>IFERROR(VLOOKUP($F76,Лист1!$A$4:$F$72,2,FALSE),"")</f>
        <v/>
      </c>
      <c r="O76" s="147" t="str">
        <f>IFERROR(VLOOKUP($G76,Лист1!$A$4:$F$72,2,FALSE),"")</f>
        <v/>
      </c>
      <c r="P76" s="115" t="str">
        <f>IFERROR(VLOOKUP($H76,Лист1!$A$4:$F$72,2,FALSE),"")</f>
        <v/>
      </c>
      <c r="Q76" s="115" t="str">
        <f>IFERROR(VLOOKUP($I76,Лист1!$A$4:$F$72,2,FALSE),"")</f>
        <v/>
      </c>
      <c r="R76" s="115" t="str">
        <f>IFERROR(VLOOKUP($J76,Лист1!$A$4:$F$72,2,FALSE),"")</f>
        <v/>
      </c>
      <c r="S76" s="115" t="str">
        <f>IFERROR(VLOOKUP($K76,Лист1!$A$4:$F$72,2,FALSE),"")</f>
        <v/>
      </c>
      <c r="T76" s="115" t="str">
        <f>IFERROR(VLOOKUP($L76,Лист1!$A$4:$F$72,2,FALSE),"")</f>
        <v/>
      </c>
      <c r="U76" s="115" t="str">
        <f t="shared" ref="U76:U107" si="60">IF(ISBLANK($M76),"",$M76)</f>
        <v/>
      </c>
      <c r="V76" s="148" t="str">
        <f>IFERROR(VLOOKUP($F76,Лист1!$A$4:$F$72,3,FALSE),"")</f>
        <v/>
      </c>
      <c r="W76" s="116" t="str">
        <f>IFERROR(VLOOKUP($G76,Лист1!$A$4:$F$72,3,FALSE),"")</f>
        <v/>
      </c>
      <c r="X76" s="116" t="str">
        <f>IFERROR(VLOOKUP($H76,Лист1!$A$4:$F$72,3,FALSE),"")</f>
        <v/>
      </c>
      <c r="Y76" s="116" t="str">
        <f>IFERROR(VLOOKUP($I76,Лист1!$A$4:$F$72,3,FALSE),"")</f>
        <v/>
      </c>
      <c r="Z76" s="116" t="str">
        <f>IFERROR(VLOOKUP($J76,Лист1!$A$4:$F$72,3,FALSE),"")</f>
        <v/>
      </c>
      <c r="AA76" s="116" t="str">
        <f>IFERROR(VLOOKUP($K76,Лист1!$A$4:$F$72,3,FALSE),"")</f>
        <v/>
      </c>
      <c r="AB76" s="116" t="str">
        <f>IFERROR(VLOOKUP($L76,Лист1!$A$4:$F$72,3,FALSE),"")</f>
        <v/>
      </c>
      <c r="AC76" s="116" t="str">
        <f>IFERROR(VLOOKUP($M76,Лист1!$A$4:$F$72,3,FALSE),"")</f>
        <v/>
      </c>
      <c r="AD76" s="152">
        <f t="shared" si="35"/>
        <v>0</v>
      </c>
      <c r="AE76" s="118">
        <f t="shared" si="36"/>
        <v>0</v>
      </c>
      <c r="AF76" s="119">
        <f t="shared" si="37"/>
        <v>0</v>
      </c>
      <c r="AG76" s="119">
        <f t="shared" si="38"/>
        <v>0</v>
      </c>
      <c r="AH76" s="119">
        <f t="shared" si="39"/>
        <v>0</v>
      </c>
      <c r="AI76" s="121">
        <f t="shared" si="40"/>
        <v>0</v>
      </c>
      <c r="AJ76" s="121" t="str">
        <f t="shared" ref="AJ76:AJ107" si="61">IF($AG76=0,"000",$AG76)</f>
        <v>000</v>
      </c>
      <c r="AK76" s="121" t="str">
        <f t="shared" ref="AK76:AK107" si="62">IF($AI76=0,"000",$AI76)</f>
        <v>000</v>
      </c>
      <c r="AL76" s="122"/>
      <c r="AM76" s="123" t="str">
        <f t="shared" si="41"/>
        <v>км 0+000 - км 0+000</v>
      </c>
      <c r="AN76" s="124" t="str">
        <f t="shared" ref="AN76:AN107" si="63">IF(ISBLANK($M76),N76&amp;O76&amp;P76&amp;Q76&amp;R76&amp;S76&amp;T76&amp;U76,N76&amp;O76&amp;P76&amp;Q76&amp;R76&amp;S76&amp;T76&amp;U76&amp;";")</f>
        <v/>
      </c>
      <c r="AO76" s="153" t="e">
        <f t="shared" ref="AO76:AO107" si="64">UPPER(LEFT($AN76,1))&amp;RIGHT(LOWER($AN76),LEN($AN76)-1)</f>
        <v>#VALUE!</v>
      </c>
      <c r="AP76" s="125">
        <f t="shared" si="42"/>
        <v>0</v>
      </c>
      <c r="AQ76" s="120">
        <f t="shared" si="43"/>
        <v>0</v>
      </c>
      <c r="AR76" s="126"/>
      <c r="AS76" s="127">
        <f t="shared" si="44"/>
        <v>0</v>
      </c>
      <c r="AT76" s="127">
        <f t="shared" si="45"/>
        <v>0</v>
      </c>
      <c r="AU76" s="128">
        <f t="shared" si="46"/>
        <v>0</v>
      </c>
      <c r="AV76" s="129">
        <f t="shared" si="47"/>
        <v>0</v>
      </c>
      <c r="AW76" s="129" t="str">
        <f t="shared" si="48"/>
        <v>-</v>
      </c>
      <c r="AX76" s="130"/>
      <c r="AY76" s="127" t="str">
        <f t="shared" ref="AY76:AY107" si="65">$AM76</f>
        <v>км 0+000 - км 0+000</v>
      </c>
      <c r="AZ76" s="129" t="str">
        <f t="shared" ref="AZ76:AZ107" si="66">$AW76</f>
        <v>-</v>
      </c>
      <c r="BA76" s="131">
        <f t="shared" ref="BA76:BA107" si="67">$BE76</f>
        <v>0.5</v>
      </c>
      <c r="BB76" s="130"/>
      <c r="BC76" s="130"/>
      <c r="BD76" s="128" t="str">
        <f t="shared" ref="BD76:BD107" si="68">$AM76</f>
        <v>км 0+000 - км 0+000</v>
      </c>
      <c r="BE76" s="131">
        <f t="shared" ref="BE76:BE107" si="69">ROUND(1-((5-$AP76)/10),2)</f>
        <v>0.5</v>
      </c>
      <c r="BF76" s="154" t="e">
        <f t="shared" ca="1" si="49"/>
        <v>#N/A</v>
      </c>
    </row>
    <row r="77" spans="1:58" ht="16.5" x14ac:dyDescent="0.25">
      <c r="A77" s="110">
        <f t="shared" si="23"/>
        <v>0</v>
      </c>
      <c r="B77" s="110"/>
      <c r="C77" s="111">
        <f t="shared" ref="C77:C131" si="70">B77-A77</f>
        <v>0</v>
      </c>
      <c r="D77" s="155"/>
      <c r="E77" s="156"/>
      <c r="F77" s="156"/>
      <c r="G77" s="157"/>
      <c r="H77" s="157"/>
      <c r="I77" s="157"/>
      <c r="J77" s="157"/>
      <c r="K77" s="157"/>
      <c r="L77" s="157"/>
      <c r="M77" s="158"/>
      <c r="N77" s="159" t="str">
        <f>IFERROR(VLOOKUP($F77,Лист1!$A$4:$F$72,2,FALSE),"")</f>
        <v/>
      </c>
      <c r="O77" s="159" t="str">
        <f>IFERROR(VLOOKUP($G77,Лист1!$A$4:$F$72,2,FALSE),"")</f>
        <v/>
      </c>
      <c r="P77" s="160" t="str">
        <f>IFERROR(VLOOKUP($H77,Лист1!$A$4:$F$72,2,FALSE),"")</f>
        <v/>
      </c>
      <c r="Q77" s="160" t="str">
        <f>IFERROR(VLOOKUP($I77,Лист1!$A$4:$F$72,2,FALSE),"")</f>
        <v/>
      </c>
      <c r="R77" s="160" t="str">
        <f>IFERROR(VLOOKUP($J77,Лист1!$A$4:$F$72,2,FALSE),"")</f>
        <v/>
      </c>
      <c r="S77" s="160" t="str">
        <f>IFERROR(VLOOKUP($K77,Лист1!$A$4:$F$72,2,FALSE),"")</f>
        <v/>
      </c>
      <c r="T77" s="160" t="str">
        <f>IFERROR(VLOOKUP($L77,Лист1!$A$4:$F$72,2,FALSE),"")</f>
        <v/>
      </c>
      <c r="U77" s="160" t="str">
        <f t="shared" si="60"/>
        <v/>
      </c>
      <c r="V77" s="161" t="str">
        <f>IFERROR(VLOOKUP($F77,Лист1!$A$4:$F$72,3,FALSE),"")</f>
        <v/>
      </c>
      <c r="W77" s="162" t="str">
        <f>IFERROR(VLOOKUP($G77,Лист1!$A$4:$F$72,3,FALSE),"")</f>
        <v/>
      </c>
      <c r="X77" s="162" t="str">
        <f>IFERROR(VLOOKUP($H77,Лист1!$A$4:$F$72,3,FALSE),"")</f>
        <v/>
      </c>
      <c r="Y77" s="162" t="str">
        <f>IFERROR(VLOOKUP($I77,Лист1!$A$4:$F$72,3,FALSE),"")</f>
        <v/>
      </c>
      <c r="Z77" s="162" t="str">
        <f>IFERROR(VLOOKUP($J77,Лист1!$A$4:$F$72,3,FALSE),"")</f>
        <v/>
      </c>
      <c r="AA77" s="162" t="str">
        <f>IFERROR(VLOOKUP($K77,Лист1!$A$4:$F$72,3,FALSE),"")</f>
        <v/>
      </c>
      <c r="AB77" s="162" t="str">
        <f>IFERROR(VLOOKUP($L77,Лист1!$A$4:$F$72,3,FALSE),"")</f>
        <v/>
      </c>
      <c r="AC77" s="162" t="str">
        <f>IFERROR(VLOOKUP($M77,Лист1!$A$4:$F$72,3,FALSE),"")</f>
        <v/>
      </c>
      <c r="AD77" s="163">
        <f t="shared" si="35"/>
        <v>0</v>
      </c>
      <c r="AE77" s="164">
        <f t="shared" si="36"/>
        <v>0</v>
      </c>
      <c r="AF77" s="165">
        <f t="shared" si="37"/>
        <v>0</v>
      </c>
      <c r="AG77" s="165">
        <f t="shared" si="38"/>
        <v>0</v>
      </c>
      <c r="AH77" s="165">
        <f t="shared" si="39"/>
        <v>0</v>
      </c>
      <c r="AI77" s="166">
        <f t="shared" si="40"/>
        <v>0</v>
      </c>
      <c r="AJ77" s="166" t="str">
        <f t="shared" si="61"/>
        <v>000</v>
      </c>
      <c r="AK77" s="166" t="str">
        <f t="shared" si="62"/>
        <v>000</v>
      </c>
      <c r="AL77" s="167"/>
      <c r="AM77" s="168" t="str">
        <f t="shared" si="41"/>
        <v>км 0+000 - км 0+000</v>
      </c>
      <c r="AN77" s="169" t="str">
        <f t="shared" si="63"/>
        <v/>
      </c>
      <c r="AO77" s="170" t="e">
        <f t="shared" si="64"/>
        <v>#VALUE!</v>
      </c>
      <c r="AP77" s="171">
        <f t="shared" si="42"/>
        <v>0</v>
      </c>
      <c r="AQ77" s="172">
        <f t="shared" si="43"/>
        <v>0</v>
      </c>
      <c r="AR77" s="173"/>
      <c r="AS77" s="174">
        <f t="shared" si="44"/>
        <v>0</v>
      </c>
      <c r="AT77" s="174">
        <f t="shared" si="45"/>
        <v>0</v>
      </c>
      <c r="AU77" s="175">
        <f t="shared" si="46"/>
        <v>0</v>
      </c>
      <c r="AV77" s="176">
        <f t="shared" si="47"/>
        <v>0</v>
      </c>
      <c r="AW77" s="176" t="str">
        <f t="shared" si="48"/>
        <v>-</v>
      </c>
      <c r="AX77" s="177"/>
      <c r="AY77" s="178" t="str">
        <f t="shared" si="65"/>
        <v>км 0+000 - км 0+000</v>
      </c>
      <c r="AZ77" s="179" t="str">
        <f t="shared" si="66"/>
        <v>-</v>
      </c>
      <c r="BA77" s="180">
        <f t="shared" si="67"/>
        <v>0.5</v>
      </c>
      <c r="BB77" s="177"/>
      <c r="BC77" s="177"/>
      <c r="BD77" s="175" t="str">
        <f t="shared" si="68"/>
        <v>км 0+000 - км 0+000</v>
      </c>
      <c r="BE77" s="181">
        <f t="shared" si="69"/>
        <v>0.5</v>
      </c>
      <c r="BF77" s="182" t="e">
        <f t="shared" ca="1" si="49"/>
        <v>#N/A</v>
      </c>
    </row>
    <row r="78" spans="1:58" ht="16.5" x14ac:dyDescent="0.25">
      <c r="A78" s="110">
        <f t="shared" ref="A78:A131" si="71">B77</f>
        <v>0</v>
      </c>
      <c r="B78" s="110"/>
      <c r="C78" s="111">
        <f t="shared" si="70"/>
        <v>0</v>
      </c>
      <c r="D78" s="112"/>
      <c r="E78" s="113"/>
      <c r="F78" s="113"/>
      <c r="G78" s="113"/>
      <c r="H78" s="113"/>
      <c r="I78" s="113"/>
      <c r="J78" s="113"/>
      <c r="K78" s="113"/>
      <c r="L78" s="113"/>
      <c r="M78" s="114"/>
      <c r="N78" s="147" t="str">
        <f>IFERROR(VLOOKUP($F78,Лист1!$A$4:$F$72,2,FALSE),"")</f>
        <v/>
      </c>
      <c r="O78" s="147" t="str">
        <f>IFERROR(VLOOKUP($G78,Лист1!$A$4:$F$72,2,FALSE),"")</f>
        <v/>
      </c>
      <c r="P78" s="115" t="str">
        <f>IFERROR(VLOOKUP($H78,Лист1!$A$4:$F$72,2,FALSE),"")</f>
        <v/>
      </c>
      <c r="Q78" s="115" t="str">
        <f>IFERROR(VLOOKUP($I78,Лист1!$A$4:$F$72,2,FALSE),"")</f>
        <v/>
      </c>
      <c r="R78" s="115" t="str">
        <f>IFERROR(VLOOKUP($J78,Лист1!$A$4:$F$72,2,FALSE),"")</f>
        <v/>
      </c>
      <c r="S78" s="115" t="str">
        <f>IFERROR(VLOOKUP($K78,Лист1!$A$4:$F$72,2,FALSE),"")</f>
        <v/>
      </c>
      <c r="T78" s="115" t="str">
        <f>IFERROR(VLOOKUP($L78,Лист1!$A$4:$F$72,2,FALSE),"")</f>
        <v/>
      </c>
      <c r="U78" s="115" t="str">
        <f t="shared" si="60"/>
        <v/>
      </c>
      <c r="V78" s="148" t="str">
        <f>IFERROR(VLOOKUP($F78,Лист1!$A$4:$F$72,3,FALSE),"")</f>
        <v/>
      </c>
      <c r="W78" s="116" t="str">
        <f>IFERROR(VLOOKUP($G78,Лист1!$A$4:$F$72,3,FALSE),"")</f>
        <v/>
      </c>
      <c r="X78" s="116" t="str">
        <f>IFERROR(VLOOKUP($H78,Лист1!$A$4:$F$72,3,FALSE),"")</f>
        <v/>
      </c>
      <c r="Y78" s="116" t="str">
        <f>IFERROR(VLOOKUP($I78,Лист1!$A$4:$F$72,3,FALSE),"")</f>
        <v/>
      </c>
      <c r="Z78" s="116" t="str">
        <f>IFERROR(VLOOKUP($J78,Лист1!$A$4:$F$72,3,FALSE),"")</f>
        <v/>
      </c>
      <c r="AA78" s="116" t="str">
        <f>IFERROR(VLOOKUP($K78,Лист1!$A$4:$F$72,3,FALSE),"")</f>
        <v/>
      </c>
      <c r="AB78" s="116" t="str">
        <f>IFERROR(VLOOKUP($L78,Лист1!$A$4:$F$72,3,FALSE),"")</f>
        <v/>
      </c>
      <c r="AC78" s="116" t="str">
        <f>IFERROR(VLOOKUP($M78,Лист1!$A$4:$F$72,3,FALSE),"")</f>
        <v/>
      </c>
      <c r="AD78" s="152">
        <f t="shared" si="35"/>
        <v>0</v>
      </c>
      <c r="AE78" s="118">
        <f t="shared" si="36"/>
        <v>0</v>
      </c>
      <c r="AF78" s="119">
        <f t="shared" si="37"/>
        <v>0</v>
      </c>
      <c r="AG78" s="119">
        <f t="shared" si="38"/>
        <v>0</v>
      </c>
      <c r="AH78" s="119">
        <f t="shared" si="39"/>
        <v>0</v>
      </c>
      <c r="AI78" s="121">
        <f t="shared" si="40"/>
        <v>0</v>
      </c>
      <c r="AJ78" s="121" t="str">
        <f t="shared" si="61"/>
        <v>000</v>
      </c>
      <c r="AK78" s="121" t="str">
        <f t="shared" si="62"/>
        <v>000</v>
      </c>
      <c r="AL78" s="122"/>
      <c r="AM78" s="123" t="str">
        <f t="shared" si="41"/>
        <v>км 0+000 - км 0+000</v>
      </c>
      <c r="AN78" s="124" t="str">
        <f t="shared" si="63"/>
        <v/>
      </c>
      <c r="AO78" s="153" t="e">
        <f t="shared" si="64"/>
        <v>#VALUE!</v>
      </c>
      <c r="AP78" s="125">
        <f t="shared" si="42"/>
        <v>0</v>
      </c>
      <c r="AQ78" s="120">
        <f t="shared" si="43"/>
        <v>0</v>
      </c>
      <c r="AR78" s="126"/>
      <c r="AS78" s="127">
        <f t="shared" si="44"/>
        <v>0</v>
      </c>
      <c r="AT78" s="127">
        <f t="shared" si="45"/>
        <v>0</v>
      </c>
      <c r="AU78" s="128">
        <f t="shared" si="46"/>
        <v>0</v>
      </c>
      <c r="AV78" s="129">
        <f t="shared" si="47"/>
        <v>0</v>
      </c>
      <c r="AW78" s="129" t="str">
        <f t="shared" si="48"/>
        <v>-</v>
      </c>
      <c r="AX78" s="130"/>
      <c r="AY78" s="127" t="str">
        <f t="shared" si="65"/>
        <v>км 0+000 - км 0+000</v>
      </c>
      <c r="AZ78" s="129" t="str">
        <f t="shared" si="66"/>
        <v>-</v>
      </c>
      <c r="BA78" s="131">
        <f t="shared" si="67"/>
        <v>0.5</v>
      </c>
      <c r="BB78" s="130"/>
      <c r="BC78" s="130"/>
      <c r="BD78" s="128" t="str">
        <f t="shared" si="68"/>
        <v>км 0+000 - км 0+000</v>
      </c>
      <c r="BE78" s="131">
        <f t="shared" si="69"/>
        <v>0.5</v>
      </c>
      <c r="BF78" s="154" t="e">
        <f t="shared" ca="1" si="49"/>
        <v>#N/A</v>
      </c>
    </row>
    <row r="79" spans="1:58" ht="16.5" x14ac:dyDescent="0.25">
      <c r="A79" s="110">
        <f t="shared" si="71"/>
        <v>0</v>
      </c>
      <c r="B79" s="110"/>
      <c r="C79" s="111">
        <f t="shared" si="70"/>
        <v>0</v>
      </c>
      <c r="D79" s="155"/>
      <c r="E79" s="156"/>
      <c r="F79" s="156"/>
      <c r="G79" s="157"/>
      <c r="H79" s="157"/>
      <c r="I79" s="157"/>
      <c r="J79" s="157"/>
      <c r="K79" s="157"/>
      <c r="L79" s="157"/>
      <c r="M79" s="158"/>
      <c r="N79" s="159" t="str">
        <f>IFERROR(VLOOKUP($F79,Лист1!$A$4:$F$72,2,FALSE),"")</f>
        <v/>
      </c>
      <c r="O79" s="159" t="str">
        <f>IFERROR(VLOOKUP($G79,Лист1!$A$4:$F$72,2,FALSE),"")</f>
        <v/>
      </c>
      <c r="P79" s="160" t="str">
        <f>IFERROR(VLOOKUP($H79,Лист1!$A$4:$F$72,2,FALSE),"")</f>
        <v/>
      </c>
      <c r="Q79" s="160" t="str">
        <f>IFERROR(VLOOKUP($I79,Лист1!$A$4:$F$72,2,FALSE),"")</f>
        <v/>
      </c>
      <c r="R79" s="160" t="str">
        <f>IFERROR(VLOOKUP($J79,Лист1!$A$4:$F$72,2,FALSE),"")</f>
        <v/>
      </c>
      <c r="S79" s="160" t="str">
        <f>IFERROR(VLOOKUP($K79,Лист1!$A$4:$F$72,2,FALSE),"")</f>
        <v/>
      </c>
      <c r="T79" s="160" t="str">
        <f>IFERROR(VLOOKUP($L79,Лист1!$A$4:$F$72,2,FALSE),"")</f>
        <v/>
      </c>
      <c r="U79" s="160" t="str">
        <f t="shared" si="60"/>
        <v/>
      </c>
      <c r="V79" s="161" t="str">
        <f>IFERROR(VLOOKUP($F79,Лист1!$A$4:$F$72,3,FALSE),"")</f>
        <v/>
      </c>
      <c r="W79" s="162" t="str">
        <f>IFERROR(VLOOKUP($G79,Лист1!$A$4:$F$72,3,FALSE),"")</f>
        <v/>
      </c>
      <c r="X79" s="162" t="str">
        <f>IFERROR(VLOOKUP($H79,Лист1!$A$4:$F$72,3,FALSE),"")</f>
        <v/>
      </c>
      <c r="Y79" s="162" t="str">
        <f>IFERROR(VLOOKUP($I79,Лист1!$A$4:$F$72,3,FALSE),"")</f>
        <v/>
      </c>
      <c r="Z79" s="162" t="str">
        <f>IFERROR(VLOOKUP($J79,Лист1!$A$4:$F$72,3,FALSE),"")</f>
        <v/>
      </c>
      <c r="AA79" s="162" t="str">
        <f>IFERROR(VLOOKUP($K79,Лист1!$A$4:$F$72,3,FALSE),"")</f>
        <v/>
      </c>
      <c r="AB79" s="162" t="str">
        <f>IFERROR(VLOOKUP($L79,Лист1!$A$4:$F$72,3,FALSE),"")</f>
        <v/>
      </c>
      <c r="AC79" s="162" t="str">
        <f>IFERROR(VLOOKUP($M79,Лист1!$A$4:$F$72,3,FALSE),"")</f>
        <v/>
      </c>
      <c r="AD79" s="163">
        <f t="shared" si="35"/>
        <v>0</v>
      </c>
      <c r="AE79" s="164">
        <f t="shared" si="36"/>
        <v>0</v>
      </c>
      <c r="AF79" s="165">
        <f t="shared" si="37"/>
        <v>0</v>
      </c>
      <c r="AG79" s="165">
        <f t="shared" si="38"/>
        <v>0</v>
      </c>
      <c r="AH79" s="165">
        <f t="shared" si="39"/>
        <v>0</v>
      </c>
      <c r="AI79" s="166">
        <f t="shared" si="40"/>
        <v>0</v>
      </c>
      <c r="AJ79" s="166" t="str">
        <f t="shared" si="61"/>
        <v>000</v>
      </c>
      <c r="AK79" s="166" t="str">
        <f t="shared" si="62"/>
        <v>000</v>
      </c>
      <c r="AL79" s="167"/>
      <c r="AM79" s="168" t="str">
        <f t="shared" si="41"/>
        <v>км 0+000 - км 0+000</v>
      </c>
      <c r="AN79" s="169" t="str">
        <f t="shared" si="63"/>
        <v/>
      </c>
      <c r="AO79" s="170" t="e">
        <f t="shared" si="64"/>
        <v>#VALUE!</v>
      </c>
      <c r="AP79" s="171">
        <f t="shared" si="42"/>
        <v>0</v>
      </c>
      <c r="AQ79" s="172">
        <f t="shared" si="43"/>
        <v>0</v>
      </c>
      <c r="AR79" s="173"/>
      <c r="AS79" s="174">
        <f t="shared" si="44"/>
        <v>0</v>
      </c>
      <c r="AT79" s="174">
        <f t="shared" si="45"/>
        <v>0</v>
      </c>
      <c r="AU79" s="175">
        <f t="shared" si="46"/>
        <v>0</v>
      </c>
      <c r="AV79" s="176">
        <f t="shared" si="47"/>
        <v>0</v>
      </c>
      <c r="AW79" s="176" t="str">
        <f t="shared" si="48"/>
        <v>-</v>
      </c>
      <c r="AX79" s="177"/>
      <c r="AY79" s="178" t="str">
        <f t="shared" si="65"/>
        <v>км 0+000 - км 0+000</v>
      </c>
      <c r="AZ79" s="179" t="str">
        <f t="shared" si="66"/>
        <v>-</v>
      </c>
      <c r="BA79" s="180">
        <f t="shared" si="67"/>
        <v>0.5</v>
      </c>
      <c r="BB79" s="177"/>
      <c r="BC79" s="177"/>
      <c r="BD79" s="175" t="str">
        <f t="shared" si="68"/>
        <v>км 0+000 - км 0+000</v>
      </c>
      <c r="BE79" s="181">
        <f t="shared" si="69"/>
        <v>0.5</v>
      </c>
      <c r="BF79" s="182" t="e">
        <f t="shared" ca="1" si="49"/>
        <v>#N/A</v>
      </c>
    </row>
    <row r="80" spans="1:58" ht="16.5" x14ac:dyDescent="0.25">
      <c r="A80" s="110">
        <f t="shared" si="71"/>
        <v>0</v>
      </c>
      <c r="B80" s="110"/>
      <c r="C80" s="111">
        <f t="shared" si="70"/>
        <v>0</v>
      </c>
      <c r="D80" s="112"/>
      <c r="E80" s="113"/>
      <c r="F80" s="113"/>
      <c r="G80" s="113"/>
      <c r="H80" s="113"/>
      <c r="I80" s="113"/>
      <c r="J80" s="113"/>
      <c r="K80" s="113"/>
      <c r="L80" s="113"/>
      <c r="M80" s="114"/>
      <c r="N80" s="147" t="str">
        <f>IFERROR(VLOOKUP($F80,Лист1!$A$4:$F$72,2,FALSE),"")</f>
        <v/>
      </c>
      <c r="O80" s="147" t="str">
        <f>IFERROR(VLOOKUP($G80,Лист1!$A$4:$F$72,2,FALSE),"")</f>
        <v/>
      </c>
      <c r="P80" s="115" t="str">
        <f>IFERROR(VLOOKUP($H80,Лист1!$A$4:$F$72,2,FALSE),"")</f>
        <v/>
      </c>
      <c r="Q80" s="115" t="str">
        <f>IFERROR(VLOOKUP($I80,Лист1!$A$4:$F$72,2,FALSE),"")</f>
        <v/>
      </c>
      <c r="R80" s="115" t="str">
        <f>IFERROR(VLOOKUP($J80,Лист1!$A$4:$F$72,2,FALSE),"")</f>
        <v/>
      </c>
      <c r="S80" s="115" t="str">
        <f>IFERROR(VLOOKUP($K80,Лист1!$A$4:$F$72,2,FALSE),"")</f>
        <v/>
      </c>
      <c r="T80" s="115" t="str">
        <f>IFERROR(VLOOKUP($L80,Лист1!$A$4:$F$72,2,FALSE),"")</f>
        <v/>
      </c>
      <c r="U80" s="115" t="str">
        <f t="shared" si="60"/>
        <v/>
      </c>
      <c r="V80" s="148" t="str">
        <f>IFERROR(VLOOKUP($F80,Лист1!$A$4:$F$72,3,FALSE),"")</f>
        <v/>
      </c>
      <c r="W80" s="116" t="str">
        <f>IFERROR(VLOOKUP($G80,Лист1!$A$4:$F$72,3,FALSE),"")</f>
        <v/>
      </c>
      <c r="X80" s="116" t="str">
        <f>IFERROR(VLOOKUP($H80,Лист1!$A$4:$F$72,3,FALSE),"")</f>
        <v/>
      </c>
      <c r="Y80" s="116" t="str">
        <f>IFERROR(VLOOKUP($I80,Лист1!$A$4:$F$72,3,FALSE),"")</f>
        <v/>
      </c>
      <c r="Z80" s="116" t="str">
        <f>IFERROR(VLOOKUP($J80,Лист1!$A$4:$F$72,3,FALSE),"")</f>
        <v/>
      </c>
      <c r="AA80" s="116" t="str">
        <f>IFERROR(VLOOKUP($K80,Лист1!$A$4:$F$72,3,FALSE),"")</f>
        <v/>
      </c>
      <c r="AB80" s="116" t="str">
        <f>IFERROR(VLOOKUP($L80,Лист1!$A$4:$F$72,3,FALSE),"")</f>
        <v/>
      </c>
      <c r="AC80" s="116" t="str">
        <f>IFERROR(VLOOKUP($M80,Лист1!$A$4:$F$72,3,FALSE),"")</f>
        <v/>
      </c>
      <c r="AD80" s="152">
        <f t="shared" si="35"/>
        <v>0</v>
      </c>
      <c r="AE80" s="118">
        <f t="shared" si="36"/>
        <v>0</v>
      </c>
      <c r="AF80" s="119">
        <f t="shared" si="37"/>
        <v>0</v>
      </c>
      <c r="AG80" s="119">
        <f t="shared" si="38"/>
        <v>0</v>
      </c>
      <c r="AH80" s="119">
        <f t="shared" si="39"/>
        <v>0</v>
      </c>
      <c r="AI80" s="121">
        <f t="shared" si="40"/>
        <v>0</v>
      </c>
      <c r="AJ80" s="121" t="str">
        <f t="shared" si="61"/>
        <v>000</v>
      </c>
      <c r="AK80" s="121" t="str">
        <f t="shared" si="62"/>
        <v>000</v>
      </c>
      <c r="AL80" s="122"/>
      <c r="AM80" s="123" t="str">
        <f t="shared" si="41"/>
        <v>км 0+000 - км 0+000</v>
      </c>
      <c r="AN80" s="124" t="str">
        <f t="shared" si="63"/>
        <v/>
      </c>
      <c r="AO80" s="153" t="e">
        <f t="shared" si="64"/>
        <v>#VALUE!</v>
      </c>
      <c r="AP80" s="125">
        <f t="shared" si="42"/>
        <v>0</v>
      </c>
      <c r="AQ80" s="120">
        <f t="shared" si="43"/>
        <v>0</v>
      </c>
      <c r="AR80" s="126"/>
      <c r="AS80" s="127">
        <f t="shared" si="44"/>
        <v>0</v>
      </c>
      <c r="AT80" s="127">
        <f t="shared" si="45"/>
        <v>0</v>
      </c>
      <c r="AU80" s="128">
        <f t="shared" si="46"/>
        <v>0</v>
      </c>
      <c r="AV80" s="129">
        <f t="shared" si="47"/>
        <v>0</v>
      </c>
      <c r="AW80" s="129" t="str">
        <f t="shared" si="48"/>
        <v>-</v>
      </c>
      <c r="AX80" s="130"/>
      <c r="AY80" s="127" t="str">
        <f t="shared" si="65"/>
        <v>км 0+000 - км 0+000</v>
      </c>
      <c r="AZ80" s="129" t="str">
        <f t="shared" si="66"/>
        <v>-</v>
      </c>
      <c r="BA80" s="131">
        <f t="shared" si="67"/>
        <v>0.5</v>
      </c>
      <c r="BB80" s="130"/>
      <c r="BC80" s="130"/>
      <c r="BD80" s="128" t="str">
        <f t="shared" si="68"/>
        <v>км 0+000 - км 0+000</v>
      </c>
      <c r="BE80" s="131">
        <f t="shared" si="69"/>
        <v>0.5</v>
      </c>
      <c r="BF80" s="154" t="e">
        <f t="shared" ca="1" si="49"/>
        <v>#N/A</v>
      </c>
    </row>
    <row r="81" spans="1:58" ht="16.5" x14ac:dyDescent="0.25">
      <c r="A81" s="110">
        <f t="shared" si="71"/>
        <v>0</v>
      </c>
      <c r="B81" s="110"/>
      <c r="C81" s="111">
        <f t="shared" si="70"/>
        <v>0</v>
      </c>
      <c r="D81" s="155"/>
      <c r="E81" s="156"/>
      <c r="F81" s="156"/>
      <c r="G81" s="157"/>
      <c r="H81" s="157"/>
      <c r="I81" s="157"/>
      <c r="J81" s="157"/>
      <c r="K81" s="157"/>
      <c r="L81" s="157"/>
      <c r="M81" s="158"/>
      <c r="N81" s="159" t="str">
        <f>IFERROR(VLOOKUP($F81,Лист1!$A$4:$F$72,2,FALSE),"")</f>
        <v/>
      </c>
      <c r="O81" s="159" t="str">
        <f>IFERROR(VLOOKUP($G81,Лист1!$A$4:$F$72,2,FALSE),"")</f>
        <v/>
      </c>
      <c r="P81" s="160" t="str">
        <f>IFERROR(VLOOKUP($H81,Лист1!$A$4:$F$72,2,FALSE),"")</f>
        <v/>
      </c>
      <c r="Q81" s="160" t="str">
        <f>IFERROR(VLOOKUP($I81,Лист1!$A$4:$F$72,2,FALSE),"")</f>
        <v/>
      </c>
      <c r="R81" s="160" t="str">
        <f>IFERROR(VLOOKUP($J81,Лист1!$A$4:$F$72,2,FALSE),"")</f>
        <v/>
      </c>
      <c r="S81" s="160" t="str">
        <f>IFERROR(VLOOKUP($K81,Лист1!$A$4:$F$72,2,FALSE),"")</f>
        <v/>
      </c>
      <c r="T81" s="160" t="str">
        <f>IFERROR(VLOOKUP($L81,Лист1!$A$4:$F$72,2,FALSE),"")</f>
        <v/>
      </c>
      <c r="U81" s="160" t="str">
        <f t="shared" si="60"/>
        <v/>
      </c>
      <c r="V81" s="161" t="str">
        <f>IFERROR(VLOOKUP($F81,Лист1!$A$4:$F$72,3,FALSE),"")</f>
        <v/>
      </c>
      <c r="W81" s="162" t="str">
        <f>IFERROR(VLOOKUP($G81,Лист1!$A$4:$F$72,3,FALSE),"")</f>
        <v/>
      </c>
      <c r="X81" s="162" t="str">
        <f>IFERROR(VLOOKUP($H81,Лист1!$A$4:$F$72,3,FALSE),"")</f>
        <v/>
      </c>
      <c r="Y81" s="162" t="str">
        <f>IFERROR(VLOOKUP($I81,Лист1!$A$4:$F$72,3,FALSE),"")</f>
        <v/>
      </c>
      <c r="Z81" s="162" t="str">
        <f>IFERROR(VLOOKUP($J81,Лист1!$A$4:$F$72,3,FALSE),"")</f>
        <v/>
      </c>
      <c r="AA81" s="162" t="str">
        <f>IFERROR(VLOOKUP($K81,Лист1!$A$4:$F$72,3,FALSE),"")</f>
        <v/>
      </c>
      <c r="AB81" s="162" t="str">
        <f>IFERROR(VLOOKUP($L81,Лист1!$A$4:$F$72,3,FALSE),"")</f>
        <v/>
      </c>
      <c r="AC81" s="162" t="str">
        <f>IFERROR(VLOOKUP($M81,Лист1!$A$4:$F$72,3,FALSE),"")</f>
        <v/>
      </c>
      <c r="AD81" s="163">
        <f t="shared" si="35"/>
        <v>0</v>
      </c>
      <c r="AE81" s="164">
        <f t="shared" si="36"/>
        <v>0</v>
      </c>
      <c r="AF81" s="165">
        <f t="shared" si="37"/>
        <v>0</v>
      </c>
      <c r="AG81" s="165">
        <f t="shared" si="38"/>
        <v>0</v>
      </c>
      <c r="AH81" s="165">
        <f t="shared" si="39"/>
        <v>0</v>
      </c>
      <c r="AI81" s="166">
        <f t="shared" si="40"/>
        <v>0</v>
      </c>
      <c r="AJ81" s="166" t="str">
        <f t="shared" si="61"/>
        <v>000</v>
      </c>
      <c r="AK81" s="166" t="str">
        <f t="shared" si="62"/>
        <v>000</v>
      </c>
      <c r="AL81" s="167"/>
      <c r="AM81" s="168" t="str">
        <f t="shared" si="41"/>
        <v>км 0+000 - км 0+000</v>
      </c>
      <c r="AN81" s="169" t="str">
        <f t="shared" si="63"/>
        <v/>
      </c>
      <c r="AO81" s="170" t="e">
        <f t="shared" si="64"/>
        <v>#VALUE!</v>
      </c>
      <c r="AP81" s="171">
        <f t="shared" si="42"/>
        <v>0</v>
      </c>
      <c r="AQ81" s="172">
        <f t="shared" si="43"/>
        <v>0</v>
      </c>
      <c r="AR81" s="173"/>
      <c r="AS81" s="174">
        <f t="shared" si="44"/>
        <v>0</v>
      </c>
      <c r="AT81" s="174">
        <f t="shared" si="45"/>
        <v>0</v>
      </c>
      <c r="AU81" s="175">
        <f t="shared" si="46"/>
        <v>0</v>
      </c>
      <c r="AV81" s="176">
        <f t="shared" si="47"/>
        <v>0</v>
      </c>
      <c r="AW81" s="176" t="str">
        <f t="shared" si="48"/>
        <v>-</v>
      </c>
      <c r="AX81" s="177"/>
      <c r="AY81" s="178" t="str">
        <f t="shared" si="65"/>
        <v>км 0+000 - км 0+000</v>
      </c>
      <c r="AZ81" s="179" t="str">
        <f t="shared" si="66"/>
        <v>-</v>
      </c>
      <c r="BA81" s="180">
        <f t="shared" si="67"/>
        <v>0.5</v>
      </c>
      <c r="BB81" s="177"/>
      <c r="BC81" s="177"/>
      <c r="BD81" s="175" t="str">
        <f t="shared" si="68"/>
        <v>км 0+000 - км 0+000</v>
      </c>
      <c r="BE81" s="181">
        <f t="shared" si="69"/>
        <v>0.5</v>
      </c>
      <c r="BF81" s="182" t="e">
        <f t="shared" ca="1" si="49"/>
        <v>#N/A</v>
      </c>
    </row>
    <row r="82" spans="1:58" ht="16.5" x14ac:dyDescent="0.25">
      <c r="A82" s="110">
        <f t="shared" si="71"/>
        <v>0</v>
      </c>
      <c r="B82" s="110"/>
      <c r="C82" s="111">
        <f t="shared" si="70"/>
        <v>0</v>
      </c>
      <c r="D82" s="112"/>
      <c r="E82" s="113"/>
      <c r="F82" s="113"/>
      <c r="G82" s="113"/>
      <c r="H82" s="113"/>
      <c r="I82" s="113"/>
      <c r="J82" s="113"/>
      <c r="K82" s="113"/>
      <c r="L82" s="113"/>
      <c r="M82" s="114"/>
      <c r="N82" s="147" t="str">
        <f>IFERROR(VLOOKUP($F82,Лист1!$A$4:$F$72,2,FALSE),"")</f>
        <v/>
      </c>
      <c r="O82" s="147" t="str">
        <f>IFERROR(VLOOKUP($G82,Лист1!$A$4:$F$72,2,FALSE),"")</f>
        <v/>
      </c>
      <c r="P82" s="115" t="str">
        <f>IFERROR(VLOOKUP($H82,Лист1!$A$4:$F$72,2,FALSE),"")</f>
        <v/>
      </c>
      <c r="Q82" s="115" t="str">
        <f>IFERROR(VLOOKUP($I82,Лист1!$A$4:$F$72,2,FALSE),"")</f>
        <v/>
      </c>
      <c r="R82" s="115" t="str">
        <f>IFERROR(VLOOKUP($J82,Лист1!$A$4:$F$72,2,FALSE),"")</f>
        <v/>
      </c>
      <c r="S82" s="115" t="str">
        <f>IFERROR(VLOOKUP($K82,Лист1!$A$4:$F$72,2,FALSE),"")</f>
        <v/>
      </c>
      <c r="T82" s="115" t="str">
        <f>IFERROR(VLOOKUP($L82,Лист1!$A$4:$F$72,2,FALSE),"")</f>
        <v/>
      </c>
      <c r="U82" s="115" t="str">
        <f t="shared" si="60"/>
        <v/>
      </c>
      <c r="V82" s="148" t="str">
        <f>IFERROR(VLOOKUP($F82,Лист1!$A$4:$F$72,3,FALSE),"")</f>
        <v/>
      </c>
      <c r="W82" s="116" t="str">
        <f>IFERROR(VLOOKUP($G82,Лист1!$A$4:$F$72,3,FALSE),"")</f>
        <v/>
      </c>
      <c r="X82" s="116" t="str">
        <f>IFERROR(VLOOKUP($H82,Лист1!$A$4:$F$72,3,FALSE),"")</f>
        <v/>
      </c>
      <c r="Y82" s="116" t="str">
        <f>IFERROR(VLOOKUP($I82,Лист1!$A$4:$F$72,3,FALSE),"")</f>
        <v/>
      </c>
      <c r="Z82" s="116" t="str">
        <f>IFERROR(VLOOKUP($J82,Лист1!$A$4:$F$72,3,FALSE),"")</f>
        <v/>
      </c>
      <c r="AA82" s="116" t="str">
        <f>IFERROR(VLOOKUP($K82,Лист1!$A$4:$F$72,3,FALSE),"")</f>
        <v/>
      </c>
      <c r="AB82" s="116" t="str">
        <f>IFERROR(VLOOKUP($L82,Лист1!$A$4:$F$72,3,FALSE),"")</f>
        <v/>
      </c>
      <c r="AC82" s="116" t="str">
        <f>IFERROR(VLOOKUP($M82,Лист1!$A$4:$F$72,3,FALSE),"")</f>
        <v/>
      </c>
      <c r="AD82" s="152">
        <f t="shared" si="35"/>
        <v>0</v>
      </c>
      <c r="AE82" s="118">
        <f t="shared" si="36"/>
        <v>0</v>
      </c>
      <c r="AF82" s="119">
        <f t="shared" si="37"/>
        <v>0</v>
      </c>
      <c r="AG82" s="119">
        <f t="shared" si="38"/>
        <v>0</v>
      </c>
      <c r="AH82" s="119">
        <f t="shared" si="39"/>
        <v>0</v>
      </c>
      <c r="AI82" s="121">
        <f t="shared" si="40"/>
        <v>0</v>
      </c>
      <c r="AJ82" s="121" t="str">
        <f t="shared" si="61"/>
        <v>000</v>
      </c>
      <c r="AK82" s="121" t="str">
        <f t="shared" si="62"/>
        <v>000</v>
      </c>
      <c r="AL82" s="122"/>
      <c r="AM82" s="123" t="str">
        <f t="shared" si="41"/>
        <v>км 0+000 - км 0+000</v>
      </c>
      <c r="AN82" s="124" t="str">
        <f t="shared" si="63"/>
        <v/>
      </c>
      <c r="AO82" s="153" t="e">
        <f t="shared" si="64"/>
        <v>#VALUE!</v>
      </c>
      <c r="AP82" s="125">
        <f t="shared" si="42"/>
        <v>0</v>
      </c>
      <c r="AQ82" s="120">
        <f t="shared" si="43"/>
        <v>0</v>
      </c>
      <c r="AR82" s="126"/>
      <c r="AS82" s="127">
        <f t="shared" si="44"/>
        <v>0</v>
      </c>
      <c r="AT82" s="127">
        <f t="shared" si="45"/>
        <v>0</v>
      </c>
      <c r="AU82" s="128">
        <f t="shared" si="46"/>
        <v>0</v>
      </c>
      <c r="AV82" s="129">
        <f t="shared" si="47"/>
        <v>0</v>
      </c>
      <c r="AW82" s="129" t="str">
        <f t="shared" si="48"/>
        <v>-</v>
      </c>
      <c r="AX82" s="130"/>
      <c r="AY82" s="127" t="str">
        <f t="shared" si="65"/>
        <v>км 0+000 - км 0+000</v>
      </c>
      <c r="AZ82" s="129" t="str">
        <f t="shared" si="66"/>
        <v>-</v>
      </c>
      <c r="BA82" s="131">
        <f t="shared" si="67"/>
        <v>0.5</v>
      </c>
      <c r="BB82" s="130"/>
      <c r="BC82" s="130"/>
      <c r="BD82" s="128" t="str">
        <f t="shared" si="68"/>
        <v>км 0+000 - км 0+000</v>
      </c>
      <c r="BE82" s="131">
        <f t="shared" si="69"/>
        <v>0.5</v>
      </c>
      <c r="BF82" s="154" t="e">
        <f t="shared" ca="1" si="49"/>
        <v>#N/A</v>
      </c>
    </row>
    <row r="83" spans="1:58" ht="16.5" x14ac:dyDescent="0.25">
      <c r="A83" s="110">
        <f t="shared" si="71"/>
        <v>0</v>
      </c>
      <c r="B83" s="110"/>
      <c r="C83" s="111">
        <f t="shared" si="70"/>
        <v>0</v>
      </c>
      <c r="D83" s="155"/>
      <c r="E83" s="156"/>
      <c r="F83" s="156"/>
      <c r="G83" s="157"/>
      <c r="H83" s="157"/>
      <c r="I83" s="157"/>
      <c r="J83" s="157"/>
      <c r="K83" s="157"/>
      <c r="L83" s="157"/>
      <c r="M83" s="158"/>
      <c r="N83" s="159" t="str">
        <f>IFERROR(VLOOKUP($F83,Лист1!$A$4:$F$72,2,FALSE),"")</f>
        <v/>
      </c>
      <c r="O83" s="159" t="str">
        <f>IFERROR(VLOOKUP($G83,Лист1!$A$4:$F$72,2,FALSE),"")</f>
        <v/>
      </c>
      <c r="P83" s="160" t="str">
        <f>IFERROR(VLOOKUP($H83,Лист1!$A$4:$F$72,2,FALSE),"")</f>
        <v/>
      </c>
      <c r="Q83" s="160" t="str">
        <f>IFERROR(VLOOKUP($I83,Лист1!$A$4:$F$72,2,FALSE),"")</f>
        <v/>
      </c>
      <c r="R83" s="160" t="str">
        <f>IFERROR(VLOOKUP($J83,Лист1!$A$4:$F$72,2,FALSE),"")</f>
        <v/>
      </c>
      <c r="S83" s="160" t="str">
        <f>IFERROR(VLOOKUP($K83,Лист1!$A$4:$F$72,2,FALSE),"")</f>
        <v/>
      </c>
      <c r="T83" s="160" t="str">
        <f>IFERROR(VLOOKUP($L83,Лист1!$A$4:$F$72,2,FALSE),"")</f>
        <v/>
      </c>
      <c r="U83" s="160" t="str">
        <f t="shared" si="60"/>
        <v/>
      </c>
      <c r="V83" s="161" t="str">
        <f>IFERROR(VLOOKUP($F83,Лист1!$A$4:$F$72,3,FALSE),"")</f>
        <v/>
      </c>
      <c r="W83" s="162" t="str">
        <f>IFERROR(VLOOKUP($G83,Лист1!$A$4:$F$72,3,FALSE),"")</f>
        <v/>
      </c>
      <c r="X83" s="162" t="str">
        <f>IFERROR(VLOOKUP($H83,Лист1!$A$4:$F$72,3,FALSE),"")</f>
        <v/>
      </c>
      <c r="Y83" s="162" t="str">
        <f>IFERROR(VLOOKUP($I83,Лист1!$A$4:$F$72,3,FALSE),"")</f>
        <v/>
      </c>
      <c r="Z83" s="162" t="str">
        <f>IFERROR(VLOOKUP($J83,Лист1!$A$4:$F$72,3,FALSE),"")</f>
        <v/>
      </c>
      <c r="AA83" s="162" t="str">
        <f>IFERROR(VLOOKUP($K83,Лист1!$A$4:$F$72,3,FALSE),"")</f>
        <v/>
      </c>
      <c r="AB83" s="162" t="str">
        <f>IFERROR(VLOOKUP($L83,Лист1!$A$4:$F$72,3,FALSE),"")</f>
        <v/>
      </c>
      <c r="AC83" s="162" t="str">
        <f>IFERROR(VLOOKUP($M83,Лист1!$A$4:$F$72,3,FALSE),"")</f>
        <v/>
      </c>
      <c r="AD83" s="163">
        <f t="shared" si="35"/>
        <v>0</v>
      </c>
      <c r="AE83" s="164">
        <f t="shared" si="36"/>
        <v>0</v>
      </c>
      <c r="AF83" s="165">
        <f t="shared" si="37"/>
        <v>0</v>
      </c>
      <c r="AG83" s="165">
        <f t="shared" si="38"/>
        <v>0</v>
      </c>
      <c r="AH83" s="165">
        <f t="shared" si="39"/>
        <v>0</v>
      </c>
      <c r="AI83" s="166">
        <f t="shared" si="40"/>
        <v>0</v>
      </c>
      <c r="AJ83" s="166" t="str">
        <f t="shared" si="61"/>
        <v>000</v>
      </c>
      <c r="AK83" s="166" t="str">
        <f t="shared" si="62"/>
        <v>000</v>
      </c>
      <c r="AL83" s="167"/>
      <c r="AM83" s="168" t="str">
        <f t="shared" si="41"/>
        <v>км 0+000 - км 0+000</v>
      </c>
      <c r="AN83" s="169" t="str">
        <f t="shared" si="63"/>
        <v/>
      </c>
      <c r="AO83" s="170" t="e">
        <f t="shared" si="64"/>
        <v>#VALUE!</v>
      </c>
      <c r="AP83" s="171">
        <f t="shared" si="42"/>
        <v>0</v>
      </c>
      <c r="AQ83" s="172">
        <f t="shared" si="43"/>
        <v>0</v>
      </c>
      <c r="AR83" s="173"/>
      <c r="AS83" s="174">
        <f t="shared" si="44"/>
        <v>0</v>
      </c>
      <c r="AT83" s="174">
        <f t="shared" si="45"/>
        <v>0</v>
      </c>
      <c r="AU83" s="175">
        <f t="shared" si="46"/>
        <v>0</v>
      </c>
      <c r="AV83" s="176">
        <f t="shared" si="47"/>
        <v>0</v>
      </c>
      <c r="AW83" s="176" t="str">
        <f t="shared" si="48"/>
        <v>-</v>
      </c>
      <c r="AX83" s="177"/>
      <c r="AY83" s="178" t="str">
        <f t="shared" si="65"/>
        <v>км 0+000 - км 0+000</v>
      </c>
      <c r="AZ83" s="179" t="str">
        <f t="shared" si="66"/>
        <v>-</v>
      </c>
      <c r="BA83" s="180">
        <f t="shared" si="67"/>
        <v>0.5</v>
      </c>
      <c r="BB83" s="177"/>
      <c r="BC83" s="177"/>
      <c r="BD83" s="175" t="str">
        <f t="shared" si="68"/>
        <v>км 0+000 - км 0+000</v>
      </c>
      <c r="BE83" s="181">
        <f t="shared" si="69"/>
        <v>0.5</v>
      </c>
      <c r="BF83" s="182" t="e">
        <f t="shared" ca="1" si="49"/>
        <v>#N/A</v>
      </c>
    </row>
    <row r="84" spans="1:58" ht="16.5" x14ac:dyDescent="0.25">
      <c r="A84" s="110">
        <f t="shared" si="71"/>
        <v>0</v>
      </c>
      <c r="B84" s="110"/>
      <c r="C84" s="111">
        <f t="shared" si="70"/>
        <v>0</v>
      </c>
      <c r="D84" s="112"/>
      <c r="E84" s="113"/>
      <c r="F84" s="113"/>
      <c r="G84" s="113"/>
      <c r="H84" s="113"/>
      <c r="I84" s="113"/>
      <c r="J84" s="113"/>
      <c r="K84" s="113"/>
      <c r="L84" s="113"/>
      <c r="M84" s="114"/>
      <c r="N84" s="147" t="str">
        <f>IFERROR(VLOOKUP($F84,Лист1!$A$4:$F$72,2,FALSE),"")</f>
        <v/>
      </c>
      <c r="O84" s="147" t="str">
        <f>IFERROR(VLOOKUP($G84,Лист1!$A$4:$F$72,2,FALSE),"")</f>
        <v/>
      </c>
      <c r="P84" s="115" t="str">
        <f>IFERROR(VLOOKUP($H84,Лист1!$A$4:$F$72,2,FALSE),"")</f>
        <v/>
      </c>
      <c r="Q84" s="115" t="str">
        <f>IFERROR(VLOOKUP($I84,Лист1!$A$4:$F$72,2,FALSE),"")</f>
        <v/>
      </c>
      <c r="R84" s="115" t="str">
        <f>IFERROR(VLOOKUP($J84,Лист1!$A$4:$F$72,2,FALSE),"")</f>
        <v/>
      </c>
      <c r="S84" s="115" t="str">
        <f>IFERROR(VLOOKUP($K84,Лист1!$A$4:$F$72,2,FALSE),"")</f>
        <v/>
      </c>
      <c r="T84" s="115" t="str">
        <f>IFERROR(VLOOKUP($L84,Лист1!$A$4:$F$72,2,FALSE),"")</f>
        <v/>
      </c>
      <c r="U84" s="115" t="str">
        <f t="shared" si="60"/>
        <v/>
      </c>
      <c r="V84" s="148" t="str">
        <f>IFERROR(VLOOKUP($F84,Лист1!$A$4:$F$72,3,FALSE),"")</f>
        <v/>
      </c>
      <c r="W84" s="116" t="str">
        <f>IFERROR(VLOOKUP($G84,Лист1!$A$4:$F$72,3,FALSE),"")</f>
        <v/>
      </c>
      <c r="X84" s="116" t="str">
        <f>IFERROR(VLOOKUP($H84,Лист1!$A$4:$F$72,3,FALSE),"")</f>
        <v/>
      </c>
      <c r="Y84" s="116" t="str">
        <f>IFERROR(VLOOKUP($I84,Лист1!$A$4:$F$72,3,FALSE),"")</f>
        <v/>
      </c>
      <c r="Z84" s="116" t="str">
        <f>IFERROR(VLOOKUP($J84,Лист1!$A$4:$F$72,3,FALSE),"")</f>
        <v/>
      </c>
      <c r="AA84" s="116" t="str">
        <f>IFERROR(VLOOKUP($K84,Лист1!$A$4:$F$72,3,FALSE),"")</f>
        <v/>
      </c>
      <c r="AB84" s="116" t="str">
        <f>IFERROR(VLOOKUP($L84,Лист1!$A$4:$F$72,3,FALSE),"")</f>
        <v/>
      </c>
      <c r="AC84" s="116" t="str">
        <f>IFERROR(VLOOKUP($M84,Лист1!$A$4:$F$72,3,FALSE),"")</f>
        <v/>
      </c>
      <c r="AD84" s="152">
        <f t="shared" si="35"/>
        <v>0</v>
      </c>
      <c r="AE84" s="118">
        <f t="shared" si="36"/>
        <v>0</v>
      </c>
      <c r="AF84" s="119">
        <f t="shared" si="37"/>
        <v>0</v>
      </c>
      <c r="AG84" s="119">
        <f t="shared" si="38"/>
        <v>0</v>
      </c>
      <c r="AH84" s="119">
        <f t="shared" si="39"/>
        <v>0</v>
      </c>
      <c r="AI84" s="121">
        <f t="shared" si="40"/>
        <v>0</v>
      </c>
      <c r="AJ84" s="121" t="str">
        <f t="shared" si="61"/>
        <v>000</v>
      </c>
      <c r="AK84" s="121" t="str">
        <f t="shared" si="62"/>
        <v>000</v>
      </c>
      <c r="AL84" s="122"/>
      <c r="AM84" s="123" t="str">
        <f t="shared" si="41"/>
        <v>км 0+000 - км 0+000</v>
      </c>
      <c r="AN84" s="124" t="str">
        <f t="shared" si="63"/>
        <v/>
      </c>
      <c r="AO84" s="153" t="e">
        <f t="shared" si="64"/>
        <v>#VALUE!</v>
      </c>
      <c r="AP84" s="125">
        <f t="shared" si="42"/>
        <v>0</v>
      </c>
      <c r="AQ84" s="120">
        <f t="shared" si="43"/>
        <v>0</v>
      </c>
      <c r="AR84" s="126"/>
      <c r="AS84" s="127">
        <f t="shared" si="44"/>
        <v>0</v>
      </c>
      <c r="AT84" s="127">
        <f t="shared" si="45"/>
        <v>0</v>
      </c>
      <c r="AU84" s="128">
        <f t="shared" si="46"/>
        <v>0</v>
      </c>
      <c r="AV84" s="129">
        <f t="shared" si="47"/>
        <v>0</v>
      </c>
      <c r="AW84" s="129" t="str">
        <f t="shared" si="48"/>
        <v>-</v>
      </c>
      <c r="AX84" s="130"/>
      <c r="AY84" s="127" t="str">
        <f t="shared" si="65"/>
        <v>км 0+000 - км 0+000</v>
      </c>
      <c r="AZ84" s="129" t="str">
        <f t="shared" si="66"/>
        <v>-</v>
      </c>
      <c r="BA84" s="131">
        <f t="shared" si="67"/>
        <v>0.5</v>
      </c>
      <c r="BB84" s="130"/>
      <c r="BC84" s="130"/>
      <c r="BD84" s="128" t="str">
        <f t="shared" si="68"/>
        <v>км 0+000 - км 0+000</v>
      </c>
      <c r="BE84" s="131">
        <f t="shared" si="69"/>
        <v>0.5</v>
      </c>
      <c r="BF84" s="154" t="e">
        <f t="shared" ca="1" si="49"/>
        <v>#N/A</v>
      </c>
    </row>
    <row r="85" spans="1:58" ht="16.5" x14ac:dyDescent="0.25">
      <c r="A85" s="110">
        <f t="shared" si="71"/>
        <v>0</v>
      </c>
      <c r="B85" s="110"/>
      <c r="C85" s="111">
        <f t="shared" si="70"/>
        <v>0</v>
      </c>
      <c r="D85" s="155"/>
      <c r="E85" s="156"/>
      <c r="F85" s="156"/>
      <c r="G85" s="157"/>
      <c r="H85" s="157"/>
      <c r="I85" s="157"/>
      <c r="J85" s="157"/>
      <c r="K85" s="157"/>
      <c r="L85" s="157"/>
      <c r="M85" s="158"/>
      <c r="N85" s="159" t="str">
        <f>IFERROR(VLOOKUP($F85,Лист1!$A$4:$F$72,2,FALSE),"")</f>
        <v/>
      </c>
      <c r="O85" s="159" t="str">
        <f>IFERROR(VLOOKUP($G85,Лист1!$A$4:$F$72,2,FALSE),"")</f>
        <v/>
      </c>
      <c r="P85" s="160" t="str">
        <f>IFERROR(VLOOKUP($H85,Лист1!$A$4:$F$72,2,FALSE),"")</f>
        <v/>
      </c>
      <c r="Q85" s="160" t="str">
        <f>IFERROR(VLOOKUP($I85,Лист1!$A$4:$F$72,2,FALSE),"")</f>
        <v/>
      </c>
      <c r="R85" s="160" t="str">
        <f>IFERROR(VLOOKUP($J85,Лист1!$A$4:$F$72,2,FALSE),"")</f>
        <v/>
      </c>
      <c r="S85" s="160" t="str">
        <f>IFERROR(VLOOKUP($K85,Лист1!$A$4:$F$72,2,FALSE),"")</f>
        <v/>
      </c>
      <c r="T85" s="160" t="str">
        <f>IFERROR(VLOOKUP($L85,Лист1!$A$4:$F$72,2,FALSE),"")</f>
        <v/>
      </c>
      <c r="U85" s="160" t="str">
        <f t="shared" si="60"/>
        <v/>
      </c>
      <c r="V85" s="161" t="str">
        <f>IFERROR(VLOOKUP($F85,Лист1!$A$4:$F$72,3,FALSE),"")</f>
        <v/>
      </c>
      <c r="W85" s="162" t="str">
        <f>IFERROR(VLOOKUP($G85,Лист1!$A$4:$F$72,3,FALSE),"")</f>
        <v/>
      </c>
      <c r="X85" s="162" t="str">
        <f>IFERROR(VLOOKUP($H85,Лист1!$A$4:$F$72,3,FALSE),"")</f>
        <v/>
      </c>
      <c r="Y85" s="162" t="str">
        <f>IFERROR(VLOOKUP($I85,Лист1!$A$4:$F$72,3,FALSE),"")</f>
        <v/>
      </c>
      <c r="Z85" s="162" t="str">
        <f>IFERROR(VLOOKUP($J85,Лист1!$A$4:$F$72,3,FALSE),"")</f>
        <v/>
      </c>
      <c r="AA85" s="162" t="str">
        <f>IFERROR(VLOOKUP($K85,Лист1!$A$4:$F$72,3,FALSE),"")</f>
        <v/>
      </c>
      <c r="AB85" s="162" t="str">
        <f>IFERROR(VLOOKUP($L85,Лист1!$A$4:$F$72,3,FALSE),"")</f>
        <v/>
      </c>
      <c r="AC85" s="162" t="str">
        <f>IFERROR(VLOOKUP($M85,Лист1!$A$4:$F$72,3,FALSE),"")</f>
        <v/>
      </c>
      <c r="AD85" s="163">
        <f t="shared" si="35"/>
        <v>0</v>
      </c>
      <c r="AE85" s="164">
        <f t="shared" si="36"/>
        <v>0</v>
      </c>
      <c r="AF85" s="165">
        <f t="shared" si="37"/>
        <v>0</v>
      </c>
      <c r="AG85" s="165">
        <f t="shared" si="38"/>
        <v>0</v>
      </c>
      <c r="AH85" s="165">
        <f t="shared" si="39"/>
        <v>0</v>
      </c>
      <c r="AI85" s="166">
        <f t="shared" si="40"/>
        <v>0</v>
      </c>
      <c r="AJ85" s="166" t="str">
        <f t="shared" si="61"/>
        <v>000</v>
      </c>
      <c r="AK85" s="166" t="str">
        <f t="shared" si="62"/>
        <v>000</v>
      </c>
      <c r="AL85" s="167"/>
      <c r="AM85" s="168" t="str">
        <f t="shared" si="41"/>
        <v>км 0+000 - км 0+000</v>
      </c>
      <c r="AN85" s="169" t="str">
        <f t="shared" si="63"/>
        <v/>
      </c>
      <c r="AO85" s="170" t="e">
        <f t="shared" si="64"/>
        <v>#VALUE!</v>
      </c>
      <c r="AP85" s="171">
        <f t="shared" si="42"/>
        <v>0</v>
      </c>
      <c r="AQ85" s="172">
        <f t="shared" si="43"/>
        <v>0</v>
      </c>
      <c r="AR85" s="173"/>
      <c r="AS85" s="174">
        <f t="shared" si="44"/>
        <v>0</v>
      </c>
      <c r="AT85" s="174">
        <f t="shared" si="45"/>
        <v>0</v>
      </c>
      <c r="AU85" s="175">
        <f t="shared" si="46"/>
        <v>0</v>
      </c>
      <c r="AV85" s="176">
        <f t="shared" si="47"/>
        <v>0</v>
      </c>
      <c r="AW85" s="176" t="str">
        <f t="shared" si="48"/>
        <v>-</v>
      </c>
      <c r="AX85" s="177"/>
      <c r="AY85" s="178" t="str">
        <f t="shared" si="65"/>
        <v>км 0+000 - км 0+000</v>
      </c>
      <c r="AZ85" s="179" t="str">
        <f t="shared" si="66"/>
        <v>-</v>
      </c>
      <c r="BA85" s="180">
        <f t="shared" si="67"/>
        <v>0.5</v>
      </c>
      <c r="BB85" s="177"/>
      <c r="BC85" s="177"/>
      <c r="BD85" s="175" t="str">
        <f t="shared" si="68"/>
        <v>км 0+000 - км 0+000</v>
      </c>
      <c r="BE85" s="181">
        <f t="shared" si="69"/>
        <v>0.5</v>
      </c>
      <c r="BF85" s="182" t="e">
        <f t="shared" ca="1" si="49"/>
        <v>#N/A</v>
      </c>
    </row>
    <row r="86" spans="1:58" ht="16.5" x14ac:dyDescent="0.25">
      <c r="A86" s="110">
        <f t="shared" si="71"/>
        <v>0</v>
      </c>
      <c r="B86" s="110"/>
      <c r="C86" s="111">
        <f t="shared" si="70"/>
        <v>0</v>
      </c>
      <c r="D86" s="112"/>
      <c r="E86" s="113"/>
      <c r="F86" s="113"/>
      <c r="G86" s="113"/>
      <c r="H86" s="113"/>
      <c r="I86" s="113"/>
      <c r="J86" s="113"/>
      <c r="K86" s="113"/>
      <c r="L86" s="113"/>
      <c r="M86" s="114"/>
      <c r="N86" s="147" t="str">
        <f>IFERROR(VLOOKUP($F86,Лист1!$A$4:$F$72,2,FALSE),"")</f>
        <v/>
      </c>
      <c r="O86" s="147" t="str">
        <f>IFERROR(VLOOKUP($G86,Лист1!$A$4:$F$72,2,FALSE),"")</f>
        <v/>
      </c>
      <c r="P86" s="115" t="str">
        <f>IFERROR(VLOOKUP($H86,Лист1!$A$4:$F$72,2,FALSE),"")</f>
        <v/>
      </c>
      <c r="Q86" s="115" t="str">
        <f>IFERROR(VLOOKUP($I86,Лист1!$A$4:$F$72,2,FALSE),"")</f>
        <v/>
      </c>
      <c r="R86" s="115" t="str">
        <f>IFERROR(VLOOKUP($J86,Лист1!$A$4:$F$72,2,FALSE),"")</f>
        <v/>
      </c>
      <c r="S86" s="115" t="str">
        <f>IFERROR(VLOOKUP($K86,Лист1!$A$4:$F$72,2,FALSE),"")</f>
        <v/>
      </c>
      <c r="T86" s="115" t="str">
        <f>IFERROR(VLOOKUP($L86,Лист1!$A$4:$F$72,2,FALSE),"")</f>
        <v/>
      </c>
      <c r="U86" s="115" t="str">
        <f t="shared" si="60"/>
        <v/>
      </c>
      <c r="V86" s="148" t="str">
        <f>IFERROR(VLOOKUP($F86,Лист1!$A$4:$F$72,3,FALSE),"")</f>
        <v/>
      </c>
      <c r="W86" s="116" t="str">
        <f>IFERROR(VLOOKUP($G86,Лист1!$A$4:$F$72,3,FALSE),"")</f>
        <v/>
      </c>
      <c r="X86" s="116" t="str">
        <f>IFERROR(VLOOKUP($H86,Лист1!$A$4:$F$72,3,FALSE),"")</f>
        <v/>
      </c>
      <c r="Y86" s="116" t="str">
        <f>IFERROR(VLOOKUP($I86,Лист1!$A$4:$F$72,3,FALSE),"")</f>
        <v/>
      </c>
      <c r="Z86" s="116" t="str">
        <f>IFERROR(VLOOKUP($J86,Лист1!$A$4:$F$72,3,FALSE),"")</f>
        <v/>
      </c>
      <c r="AA86" s="116" t="str">
        <f>IFERROR(VLOOKUP($K86,Лист1!$A$4:$F$72,3,FALSE),"")</f>
        <v/>
      </c>
      <c r="AB86" s="116" t="str">
        <f>IFERROR(VLOOKUP($L86,Лист1!$A$4:$F$72,3,FALSE),"")</f>
        <v/>
      </c>
      <c r="AC86" s="116" t="str">
        <f>IFERROR(VLOOKUP($M86,Лист1!$A$4:$F$72,3,FALSE),"")</f>
        <v/>
      </c>
      <c r="AD86" s="152">
        <f t="shared" si="35"/>
        <v>0</v>
      </c>
      <c r="AE86" s="118">
        <f t="shared" si="36"/>
        <v>0</v>
      </c>
      <c r="AF86" s="119">
        <f t="shared" si="37"/>
        <v>0</v>
      </c>
      <c r="AG86" s="119">
        <f t="shared" si="38"/>
        <v>0</v>
      </c>
      <c r="AH86" s="119">
        <f t="shared" si="39"/>
        <v>0</v>
      </c>
      <c r="AI86" s="121">
        <f t="shared" si="40"/>
        <v>0</v>
      </c>
      <c r="AJ86" s="121" t="str">
        <f t="shared" si="61"/>
        <v>000</v>
      </c>
      <c r="AK86" s="121" t="str">
        <f t="shared" si="62"/>
        <v>000</v>
      </c>
      <c r="AL86" s="122"/>
      <c r="AM86" s="123" t="str">
        <f t="shared" si="41"/>
        <v>км 0+000 - км 0+000</v>
      </c>
      <c r="AN86" s="124" t="str">
        <f t="shared" si="63"/>
        <v/>
      </c>
      <c r="AO86" s="153" t="e">
        <f t="shared" si="64"/>
        <v>#VALUE!</v>
      </c>
      <c r="AP86" s="125">
        <f t="shared" si="42"/>
        <v>0</v>
      </c>
      <c r="AQ86" s="120">
        <f t="shared" si="43"/>
        <v>0</v>
      </c>
      <c r="AR86" s="126"/>
      <c r="AS86" s="127">
        <f t="shared" si="44"/>
        <v>0</v>
      </c>
      <c r="AT86" s="127">
        <f t="shared" si="45"/>
        <v>0</v>
      </c>
      <c r="AU86" s="128">
        <f t="shared" si="46"/>
        <v>0</v>
      </c>
      <c r="AV86" s="129">
        <f t="shared" si="47"/>
        <v>0</v>
      </c>
      <c r="AW86" s="129" t="str">
        <f t="shared" si="48"/>
        <v>-</v>
      </c>
      <c r="AX86" s="130"/>
      <c r="AY86" s="127" t="str">
        <f t="shared" si="65"/>
        <v>км 0+000 - км 0+000</v>
      </c>
      <c r="AZ86" s="129" t="str">
        <f t="shared" si="66"/>
        <v>-</v>
      </c>
      <c r="BA86" s="131">
        <f t="shared" si="67"/>
        <v>0.5</v>
      </c>
      <c r="BB86" s="130"/>
      <c r="BC86" s="130"/>
      <c r="BD86" s="128" t="str">
        <f t="shared" si="68"/>
        <v>км 0+000 - км 0+000</v>
      </c>
      <c r="BE86" s="131">
        <f t="shared" si="69"/>
        <v>0.5</v>
      </c>
      <c r="BF86" s="154" t="e">
        <f t="shared" ca="1" si="49"/>
        <v>#N/A</v>
      </c>
    </row>
    <row r="87" spans="1:58" ht="16.5" x14ac:dyDescent="0.25">
      <c r="A87" s="110">
        <f t="shared" si="71"/>
        <v>0</v>
      </c>
      <c r="B87" s="110"/>
      <c r="C87" s="111">
        <f t="shared" si="70"/>
        <v>0</v>
      </c>
      <c r="D87" s="155"/>
      <c r="E87" s="156"/>
      <c r="F87" s="156"/>
      <c r="G87" s="157"/>
      <c r="H87" s="157"/>
      <c r="I87" s="157"/>
      <c r="J87" s="157"/>
      <c r="K87" s="157"/>
      <c r="L87" s="157"/>
      <c r="M87" s="158"/>
      <c r="N87" s="159" t="str">
        <f>IFERROR(VLOOKUP($F87,Лист1!$A$4:$F$72,2,FALSE),"")</f>
        <v/>
      </c>
      <c r="O87" s="159" t="str">
        <f>IFERROR(VLOOKUP($G87,Лист1!$A$4:$F$72,2,FALSE),"")</f>
        <v/>
      </c>
      <c r="P87" s="160" t="str">
        <f>IFERROR(VLOOKUP($H87,Лист1!$A$4:$F$72,2,FALSE),"")</f>
        <v/>
      </c>
      <c r="Q87" s="160" t="str">
        <f>IFERROR(VLOOKUP($I87,Лист1!$A$4:$F$72,2,FALSE),"")</f>
        <v/>
      </c>
      <c r="R87" s="160" t="str">
        <f>IFERROR(VLOOKUP($J87,Лист1!$A$4:$F$72,2,FALSE),"")</f>
        <v/>
      </c>
      <c r="S87" s="160" t="str">
        <f>IFERROR(VLOOKUP($K87,Лист1!$A$4:$F$72,2,FALSE),"")</f>
        <v/>
      </c>
      <c r="T87" s="160" t="str">
        <f>IFERROR(VLOOKUP($L87,Лист1!$A$4:$F$72,2,FALSE),"")</f>
        <v/>
      </c>
      <c r="U87" s="160" t="str">
        <f t="shared" si="60"/>
        <v/>
      </c>
      <c r="V87" s="161" t="str">
        <f>IFERROR(VLOOKUP($F87,Лист1!$A$4:$F$72,3,FALSE),"")</f>
        <v/>
      </c>
      <c r="W87" s="162" t="str">
        <f>IFERROR(VLOOKUP($G87,Лист1!$A$4:$F$72,3,FALSE),"")</f>
        <v/>
      </c>
      <c r="X87" s="162" t="str">
        <f>IFERROR(VLOOKUP($H87,Лист1!$A$4:$F$72,3,FALSE),"")</f>
        <v/>
      </c>
      <c r="Y87" s="162" t="str">
        <f>IFERROR(VLOOKUP($I87,Лист1!$A$4:$F$72,3,FALSE),"")</f>
        <v/>
      </c>
      <c r="Z87" s="162" t="str">
        <f>IFERROR(VLOOKUP($J87,Лист1!$A$4:$F$72,3,FALSE),"")</f>
        <v/>
      </c>
      <c r="AA87" s="162" t="str">
        <f>IFERROR(VLOOKUP($K87,Лист1!$A$4:$F$72,3,FALSE),"")</f>
        <v/>
      </c>
      <c r="AB87" s="162" t="str">
        <f>IFERROR(VLOOKUP($L87,Лист1!$A$4:$F$72,3,FALSE),"")</f>
        <v/>
      </c>
      <c r="AC87" s="162" t="str">
        <f>IFERROR(VLOOKUP($M87,Лист1!$A$4:$F$72,3,FALSE),"")</f>
        <v/>
      </c>
      <c r="AD87" s="163">
        <f t="shared" si="35"/>
        <v>0</v>
      </c>
      <c r="AE87" s="164">
        <f t="shared" si="36"/>
        <v>0</v>
      </c>
      <c r="AF87" s="165">
        <f t="shared" si="37"/>
        <v>0</v>
      </c>
      <c r="AG87" s="165">
        <f t="shared" si="38"/>
        <v>0</v>
      </c>
      <c r="AH87" s="165">
        <f t="shared" si="39"/>
        <v>0</v>
      </c>
      <c r="AI87" s="166">
        <f t="shared" si="40"/>
        <v>0</v>
      </c>
      <c r="AJ87" s="166" t="str">
        <f t="shared" si="61"/>
        <v>000</v>
      </c>
      <c r="AK87" s="166" t="str">
        <f t="shared" si="62"/>
        <v>000</v>
      </c>
      <c r="AL87" s="167"/>
      <c r="AM87" s="168" t="str">
        <f t="shared" si="41"/>
        <v>км 0+000 - км 0+000</v>
      </c>
      <c r="AN87" s="169" t="str">
        <f t="shared" si="63"/>
        <v/>
      </c>
      <c r="AO87" s="170" t="e">
        <f t="shared" si="64"/>
        <v>#VALUE!</v>
      </c>
      <c r="AP87" s="171">
        <f t="shared" si="42"/>
        <v>0</v>
      </c>
      <c r="AQ87" s="172">
        <f t="shared" si="43"/>
        <v>0</v>
      </c>
      <c r="AR87" s="173"/>
      <c r="AS87" s="174">
        <f t="shared" si="44"/>
        <v>0</v>
      </c>
      <c r="AT87" s="174">
        <f t="shared" si="45"/>
        <v>0</v>
      </c>
      <c r="AU87" s="175">
        <f t="shared" si="46"/>
        <v>0</v>
      </c>
      <c r="AV87" s="176">
        <f t="shared" si="47"/>
        <v>0</v>
      </c>
      <c r="AW87" s="176" t="str">
        <f t="shared" si="48"/>
        <v>-</v>
      </c>
      <c r="AX87" s="177"/>
      <c r="AY87" s="178" t="str">
        <f t="shared" si="65"/>
        <v>км 0+000 - км 0+000</v>
      </c>
      <c r="AZ87" s="179" t="str">
        <f t="shared" si="66"/>
        <v>-</v>
      </c>
      <c r="BA87" s="180">
        <f t="shared" si="67"/>
        <v>0.5</v>
      </c>
      <c r="BB87" s="177"/>
      <c r="BC87" s="177"/>
      <c r="BD87" s="175" t="str">
        <f t="shared" si="68"/>
        <v>км 0+000 - км 0+000</v>
      </c>
      <c r="BE87" s="181">
        <f t="shared" si="69"/>
        <v>0.5</v>
      </c>
      <c r="BF87" s="182" t="e">
        <f t="shared" ca="1" si="49"/>
        <v>#N/A</v>
      </c>
    </row>
    <row r="88" spans="1:58" ht="16.5" x14ac:dyDescent="0.25">
      <c r="A88" s="110">
        <f t="shared" si="71"/>
        <v>0</v>
      </c>
      <c r="B88" s="110"/>
      <c r="C88" s="111">
        <f t="shared" si="70"/>
        <v>0</v>
      </c>
      <c r="D88" s="112"/>
      <c r="E88" s="113"/>
      <c r="F88" s="113"/>
      <c r="G88" s="113"/>
      <c r="H88" s="113"/>
      <c r="I88" s="113"/>
      <c r="J88" s="113"/>
      <c r="K88" s="113"/>
      <c r="L88" s="113"/>
      <c r="M88" s="114"/>
      <c r="N88" s="147" t="str">
        <f>IFERROR(VLOOKUP($F88,Лист1!$A$4:$F$72,2,FALSE),"")</f>
        <v/>
      </c>
      <c r="O88" s="147" t="str">
        <f>IFERROR(VLOOKUP($G88,Лист1!$A$4:$F$72,2,FALSE),"")</f>
        <v/>
      </c>
      <c r="P88" s="115" t="str">
        <f>IFERROR(VLOOKUP($H88,Лист1!$A$4:$F$72,2,FALSE),"")</f>
        <v/>
      </c>
      <c r="Q88" s="115" t="str">
        <f>IFERROR(VLOOKUP($I88,Лист1!$A$4:$F$72,2,FALSE),"")</f>
        <v/>
      </c>
      <c r="R88" s="115" t="str">
        <f>IFERROR(VLOOKUP($J88,Лист1!$A$4:$F$72,2,FALSE),"")</f>
        <v/>
      </c>
      <c r="S88" s="115" t="str">
        <f>IFERROR(VLOOKUP($K88,Лист1!$A$4:$F$72,2,FALSE),"")</f>
        <v/>
      </c>
      <c r="T88" s="115" t="str">
        <f>IFERROR(VLOOKUP($L88,Лист1!$A$4:$F$72,2,FALSE),"")</f>
        <v/>
      </c>
      <c r="U88" s="115" t="str">
        <f t="shared" si="60"/>
        <v/>
      </c>
      <c r="V88" s="148" t="str">
        <f>IFERROR(VLOOKUP($F88,Лист1!$A$4:$F$72,3,FALSE),"")</f>
        <v/>
      </c>
      <c r="W88" s="116" t="str">
        <f>IFERROR(VLOOKUP($G88,Лист1!$A$4:$F$72,3,FALSE),"")</f>
        <v/>
      </c>
      <c r="X88" s="116" t="str">
        <f>IFERROR(VLOOKUP($H88,Лист1!$A$4:$F$72,3,FALSE),"")</f>
        <v/>
      </c>
      <c r="Y88" s="116" t="str">
        <f>IFERROR(VLOOKUP($I88,Лист1!$A$4:$F$72,3,FALSE),"")</f>
        <v/>
      </c>
      <c r="Z88" s="116" t="str">
        <f>IFERROR(VLOOKUP($J88,Лист1!$A$4:$F$72,3,FALSE),"")</f>
        <v/>
      </c>
      <c r="AA88" s="116" t="str">
        <f>IFERROR(VLOOKUP($K88,Лист1!$A$4:$F$72,3,FALSE),"")</f>
        <v/>
      </c>
      <c r="AB88" s="116" t="str">
        <f>IFERROR(VLOOKUP($L88,Лист1!$A$4:$F$72,3,FALSE),"")</f>
        <v/>
      </c>
      <c r="AC88" s="116" t="str">
        <f>IFERROR(VLOOKUP($M88,Лист1!$A$4:$F$72,3,FALSE),"")</f>
        <v/>
      </c>
      <c r="AD88" s="152">
        <f t="shared" si="35"/>
        <v>0</v>
      </c>
      <c r="AE88" s="118">
        <f t="shared" si="36"/>
        <v>0</v>
      </c>
      <c r="AF88" s="119">
        <f t="shared" si="37"/>
        <v>0</v>
      </c>
      <c r="AG88" s="119">
        <f t="shared" si="38"/>
        <v>0</v>
      </c>
      <c r="AH88" s="119">
        <f t="shared" si="39"/>
        <v>0</v>
      </c>
      <c r="AI88" s="121">
        <f t="shared" si="40"/>
        <v>0</v>
      </c>
      <c r="AJ88" s="121" t="str">
        <f t="shared" si="61"/>
        <v>000</v>
      </c>
      <c r="AK88" s="121" t="str">
        <f t="shared" si="62"/>
        <v>000</v>
      </c>
      <c r="AL88" s="122"/>
      <c r="AM88" s="123" t="str">
        <f t="shared" si="41"/>
        <v>км 0+000 - км 0+000</v>
      </c>
      <c r="AN88" s="124" t="str">
        <f t="shared" si="63"/>
        <v/>
      </c>
      <c r="AO88" s="153" t="e">
        <f t="shared" si="64"/>
        <v>#VALUE!</v>
      </c>
      <c r="AP88" s="125">
        <f t="shared" si="42"/>
        <v>0</v>
      </c>
      <c r="AQ88" s="120">
        <f t="shared" si="43"/>
        <v>0</v>
      </c>
      <c r="AR88" s="126"/>
      <c r="AS88" s="127">
        <f t="shared" si="44"/>
        <v>0</v>
      </c>
      <c r="AT88" s="127">
        <f t="shared" si="45"/>
        <v>0</v>
      </c>
      <c r="AU88" s="128">
        <f t="shared" si="46"/>
        <v>0</v>
      </c>
      <c r="AV88" s="129">
        <f t="shared" si="47"/>
        <v>0</v>
      </c>
      <c r="AW88" s="129" t="str">
        <f t="shared" si="48"/>
        <v>-</v>
      </c>
      <c r="AX88" s="130"/>
      <c r="AY88" s="127" t="str">
        <f t="shared" si="65"/>
        <v>км 0+000 - км 0+000</v>
      </c>
      <c r="AZ88" s="129" t="str">
        <f t="shared" si="66"/>
        <v>-</v>
      </c>
      <c r="BA88" s="131">
        <f t="shared" si="67"/>
        <v>0.5</v>
      </c>
      <c r="BB88" s="130"/>
      <c r="BC88" s="130"/>
      <c r="BD88" s="128" t="str">
        <f t="shared" si="68"/>
        <v>км 0+000 - км 0+000</v>
      </c>
      <c r="BE88" s="131">
        <f t="shared" si="69"/>
        <v>0.5</v>
      </c>
      <c r="BF88" s="154" t="e">
        <f t="shared" ca="1" si="49"/>
        <v>#N/A</v>
      </c>
    </row>
    <row r="89" spans="1:58" ht="16.5" x14ac:dyDescent="0.25">
      <c r="A89" s="110">
        <f t="shared" si="71"/>
        <v>0</v>
      </c>
      <c r="B89" s="110"/>
      <c r="C89" s="111">
        <f t="shared" si="70"/>
        <v>0</v>
      </c>
      <c r="D89" s="155"/>
      <c r="E89" s="156"/>
      <c r="F89" s="156"/>
      <c r="G89" s="157"/>
      <c r="H89" s="157"/>
      <c r="I89" s="157"/>
      <c r="J89" s="157"/>
      <c r="K89" s="157"/>
      <c r="L89" s="157"/>
      <c r="M89" s="158"/>
      <c r="N89" s="159" t="str">
        <f>IFERROR(VLOOKUP($F89,Лист1!$A$4:$F$72,2,FALSE),"")</f>
        <v/>
      </c>
      <c r="O89" s="159" t="str">
        <f>IFERROR(VLOOKUP($G89,Лист1!$A$4:$F$72,2,FALSE),"")</f>
        <v/>
      </c>
      <c r="P89" s="160" t="str">
        <f>IFERROR(VLOOKUP($H89,Лист1!$A$4:$F$72,2,FALSE),"")</f>
        <v/>
      </c>
      <c r="Q89" s="160" t="str">
        <f>IFERROR(VLOOKUP($I89,Лист1!$A$4:$F$72,2,FALSE),"")</f>
        <v/>
      </c>
      <c r="R89" s="160" t="str">
        <f>IFERROR(VLOOKUP($J89,Лист1!$A$4:$F$72,2,FALSE),"")</f>
        <v/>
      </c>
      <c r="S89" s="160" t="str">
        <f>IFERROR(VLOOKUP($K89,Лист1!$A$4:$F$72,2,FALSE),"")</f>
        <v/>
      </c>
      <c r="T89" s="160" t="str">
        <f>IFERROR(VLOOKUP($L89,Лист1!$A$4:$F$72,2,FALSE),"")</f>
        <v/>
      </c>
      <c r="U89" s="160" t="str">
        <f t="shared" si="60"/>
        <v/>
      </c>
      <c r="V89" s="161" t="str">
        <f>IFERROR(VLOOKUP($F89,Лист1!$A$4:$F$72,3,FALSE),"")</f>
        <v/>
      </c>
      <c r="W89" s="162" t="str">
        <f>IFERROR(VLOOKUP($G89,Лист1!$A$4:$F$72,3,FALSE),"")</f>
        <v/>
      </c>
      <c r="X89" s="162" t="str">
        <f>IFERROR(VLOOKUP($H89,Лист1!$A$4:$F$72,3,FALSE),"")</f>
        <v/>
      </c>
      <c r="Y89" s="162" t="str">
        <f>IFERROR(VLOOKUP($I89,Лист1!$A$4:$F$72,3,FALSE),"")</f>
        <v/>
      </c>
      <c r="Z89" s="162" t="str">
        <f>IFERROR(VLOOKUP($J89,Лист1!$A$4:$F$72,3,FALSE),"")</f>
        <v/>
      </c>
      <c r="AA89" s="162" t="str">
        <f>IFERROR(VLOOKUP($K89,Лист1!$A$4:$F$72,3,FALSE),"")</f>
        <v/>
      </c>
      <c r="AB89" s="162" t="str">
        <f>IFERROR(VLOOKUP($L89,Лист1!$A$4:$F$72,3,FALSE),"")</f>
        <v/>
      </c>
      <c r="AC89" s="162" t="str">
        <f>IFERROR(VLOOKUP($M89,Лист1!$A$4:$F$72,3,FALSE),"")</f>
        <v/>
      </c>
      <c r="AD89" s="163">
        <f t="shared" si="35"/>
        <v>0</v>
      </c>
      <c r="AE89" s="164">
        <f t="shared" si="36"/>
        <v>0</v>
      </c>
      <c r="AF89" s="165">
        <f t="shared" si="37"/>
        <v>0</v>
      </c>
      <c r="AG89" s="165">
        <f t="shared" si="38"/>
        <v>0</v>
      </c>
      <c r="AH89" s="165">
        <f t="shared" si="39"/>
        <v>0</v>
      </c>
      <c r="AI89" s="166">
        <f t="shared" si="40"/>
        <v>0</v>
      </c>
      <c r="AJ89" s="166" t="str">
        <f t="shared" si="61"/>
        <v>000</v>
      </c>
      <c r="AK89" s="166" t="str">
        <f t="shared" si="62"/>
        <v>000</v>
      </c>
      <c r="AL89" s="167"/>
      <c r="AM89" s="168" t="str">
        <f t="shared" si="41"/>
        <v>км 0+000 - км 0+000</v>
      </c>
      <c r="AN89" s="169" t="str">
        <f t="shared" si="63"/>
        <v/>
      </c>
      <c r="AO89" s="170" t="e">
        <f t="shared" si="64"/>
        <v>#VALUE!</v>
      </c>
      <c r="AP89" s="171">
        <f t="shared" si="42"/>
        <v>0</v>
      </c>
      <c r="AQ89" s="172">
        <f t="shared" si="43"/>
        <v>0</v>
      </c>
      <c r="AR89" s="173"/>
      <c r="AS89" s="174">
        <f t="shared" si="44"/>
        <v>0</v>
      </c>
      <c r="AT89" s="174">
        <f t="shared" si="45"/>
        <v>0</v>
      </c>
      <c r="AU89" s="175">
        <f t="shared" si="46"/>
        <v>0</v>
      </c>
      <c r="AV89" s="176">
        <f t="shared" si="47"/>
        <v>0</v>
      </c>
      <c r="AW89" s="176" t="str">
        <f t="shared" si="48"/>
        <v>-</v>
      </c>
      <c r="AX89" s="177"/>
      <c r="AY89" s="178" t="str">
        <f t="shared" si="65"/>
        <v>км 0+000 - км 0+000</v>
      </c>
      <c r="AZ89" s="179" t="str">
        <f t="shared" si="66"/>
        <v>-</v>
      </c>
      <c r="BA89" s="180">
        <f t="shared" si="67"/>
        <v>0.5</v>
      </c>
      <c r="BB89" s="177"/>
      <c r="BC89" s="177"/>
      <c r="BD89" s="175" t="str">
        <f t="shared" si="68"/>
        <v>км 0+000 - км 0+000</v>
      </c>
      <c r="BE89" s="181">
        <f t="shared" si="69"/>
        <v>0.5</v>
      </c>
      <c r="BF89" s="182" t="e">
        <f t="shared" ca="1" si="49"/>
        <v>#N/A</v>
      </c>
    </row>
    <row r="90" spans="1:58" ht="16.5" x14ac:dyDescent="0.25">
      <c r="A90" s="110">
        <f t="shared" si="71"/>
        <v>0</v>
      </c>
      <c r="B90" s="110"/>
      <c r="C90" s="111">
        <f t="shared" si="70"/>
        <v>0</v>
      </c>
      <c r="D90" s="112"/>
      <c r="E90" s="113"/>
      <c r="F90" s="113"/>
      <c r="G90" s="113"/>
      <c r="H90" s="113"/>
      <c r="I90" s="113"/>
      <c r="J90" s="113"/>
      <c r="K90" s="113"/>
      <c r="L90" s="113"/>
      <c r="M90" s="114"/>
      <c r="N90" s="147" t="str">
        <f>IFERROR(VLOOKUP($F90,Лист1!$A$4:$F$72,2,FALSE),"")</f>
        <v/>
      </c>
      <c r="O90" s="147" t="str">
        <f>IFERROR(VLOOKUP($G90,Лист1!$A$4:$F$72,2,FALSE),"")</f>
        <v/>
      </c>
      <c r="P90" s="115" t="str">
        <f>IFERROR(VLOOKUP($H90,Лист1!$A$4:$F$72,2,FALSE),"")</f>
        <v/>
      </c>
      <c r="Q90" s="115" t="str">
        <f>IFERROR(VLOOKUP($I90,Лист1!$A$4:$F$72,2,FALSE),"")</f>
        <v/>
      </c>
      <c r="R90" s="115" t="str">
        <f>IFERROR(VLOOKUP($J90,Лист1!$A$4:$F$72,2,FALSE),"")</f>
        <v/>
      </c>
      <c r="S90" s="115" t="str">
        <f>IFERROR(VLOOKUP($K90,Лист1!$A$4:$F$72,2,FALSE),"")</f>
        <v/>
      </c>
      <c r="T90" s="115" t="str">
        <f>IFERROR(VLOOKUP($L90,Лист1!$A$4:$F$72,2,FALSE),"")</f>
        <v/>
      </c>
      <c r="U90" s="115" t="str">
        <f t="shared" si="60"/>
        <v/>
      </c>
      <c r="V90" s="148" t="str">
        <f>IFERROR(VLOOKUP($F90,Лист1!$A$4:$F$72,3,FALSE),"")</f>
        <v/>
      </c>
      <c r="W90" s="116" t="str">
        <f>IFERROR(VLOOKUP($G90,Лист1!$A$4:$F$72,3,FALSE),"")</f>
        <v/>
      </c>
      <c r="X90" s="116" t="str">
        <f>IFERROR(VLOOKUP($H90,Лист1!$A$4:$F$72,3,FALSE),"")</f>
        <v/>
      </c>
      <c r="Y90" s="116" t="str">
        <f>IFERROR(VLOOKUP($I90,Лист1!$A$4:$F$72,3,FALSE),"")</f>
        <v/>
      </c>
      <c r="Z90" s="116" t="str">
        <f>IFERROR(VLOOKUP($J90,Лист1!$A$4:$F$72,3,FALSE),"")</f>
        <v/>
      </c>
      <c r="AA90" s="116" t="str">
        <f>IFERROR(VLOOKUP($K90,Лист1!$A$4:$F$72,3,FALSE),"")</f>
        <v/>
      </c>
      <c r="AB90" s="116" t="str">
        <f>IFERROR(VLOOKUP($L90,Лист1!$A$4:$F$72,3,FALSE),"")</f>
        <v/>
      </c>
      <c r="AC90" s="116" t="str">
        <f>IFERROR(VLOOKUP($M90,Лист1!$A$4:$F$72,3,FALSE),"")</f>
        <v/>
      </c>
      <c r="AD90" s="152">
        <f t="shared" ref="AD90:AD131" si="72">ROUND(AE89,3)</f>
        <v>0</v>
      </c>
      <c r="AE90" s="118">
        <f t="shared" ref="AE90:AE131" si="73">ROUND(AD90+C90,3)</f>
        <v>0</v>
      </c>
      <c r="AF90" s="119">
        <f t="shared" ref="AF90:AF131" si="74">ROUND(ROUNDDOWN(AD90,0),0)</f>
        <v>0</v>
      </c>
      <c r="AG90" s="119">
        <f t="shared" ref="AG90:AG131" si="75">ROUND((AD90-AF90)*1000,0)</f>
        <v>0</v>
      </c>
      <c r="AH90" s="119">
        <f t="shared" ref="AH90:AH131" si="76">ROUND(ROUNDDOWN(AE90,0),0)</f>
        <v>0</v>
      </c>
      <c r="AI90" s="121">
        <f t="shared" ref="AI90:AI131" si="77">ROUND((AE90-AH90)*1000,0)</f>
        <v>0</v>
      </c>
      <c r="AJ90" s="121" t="str">
        <f t="shared" si="61"/>
        <v>000</v>
      </c>
      <c r="AK90" s="121" t="str">
        <f t="shared" si="62"/>
        <v>000</v>
      </c>
      <c r="AL90" s="122"/>
      <c r="AM90" s="123" t="str">
        <f t="shared" ref="AM90:AM131" si="78">CONCATENATE("км ",AF90,"+",AJ90," - км ",AH90,"+",AK90)</f>
        <v>км 0+000 - км 0+000</v>
      </c>
      <c r="AN90" s="124" t="str">
        <f t="shared" si="63"/>
        <v/>
      </c>
      <c r="AO90" s="153" t="e">
        <f t="shared" si="64"/>
        <v>#VALUE!</v>
      </c>
      <c r="AP90" s="125">
        <f t="shared" ref="AP90:AP131" si="79">MIN(V90:AC90)</f>
        <v>0</v>
      </c>
      <c r="AQ90" s="120">
        <f t="shared" ref="AQ90:AQ131" si="80">AP90*C90</f>
        <v>0</v>
      </c>
      <c r="AR90" s="126"/>
      <c r="AS90" s="127">
        <f t="shared" ref="AS90:AS131" si="81">AD90</f>
        <v>0</v>
      </c>
      <c r="AT90" s="127">
        <f t="shared" ref="AT90:AT131" si="82">AE90</f>
        <v>0</v>
      </c>
      <c r="AU90" s="128">
        <f t="shared" ref="AU90:AU131" si="83">E90</f>
        <v>0</v>
      </c>
      <c r="AV90" s="129">
        <f t="shared" ref="AV90:AV131" si="84">D90</f>
        <v>0</v>
      </c>
      <c r="AW90" s="129" t="str">
        <f t="shared" ref="AW90:AW131" si="85">IF(AP90=0,"-",AP90)</f>
        <v>-</v>
      </c>
      <c r="AX90" s="130"/>
      <c r="AY90" s="127" t="str">
        <f t="shared" si="65"/>
        <v>км 0+000 - км 0+000</v>
      </c>
      <c r="AZ90" s="129" t="str">
        <f t="shared" si="66"/>
        <v>-</v>
      </c>
      <c r="BA90" s="131">
        <f t="shared" si="67"/>
        <v>0.5</v>
      </c>
      <c r="BB90" s="130"/>
      <c r="BC90" s="130"/>
      <c r="BD90" s="128" t="str">
        <f t="shared" si="68"/>
        <v>км 0+000 - км 0+000</v>
      </c>
      <c r="BE90" s="131">
        <f t="shared" si="69"/>
        <v>0.5</v>
      </c>
      <c r="BF90" s="154" t="e">
        <f t="shared" ref="BF90:BF131" ca="1" si="86">ROUND(BE90*$N$4,0)</f>
        <v>#N/A</v>
      </c>
    </row>
    <row r="91" spans="1:58" ht="16.5" x14ac:dyDescent="0.25">
      <c r="A91" s="110">
        <f t="shared" si="71"/>
        <v>0</v>
      </c>
      <c r="B91" s="110"/>
      <c r="C91" s="111">
        <f t="shared" si="70"/>
        <v>0</v>
      </c>
      <c r="D91" s="155"/>
      <c r="E91" s="156"/>
      <c r="F91" s="156"/>
      <c r="G91" s="157"/>
      <c r="H91" s="157"/>
      <c r="I91" s="157"/>
      <c r="J91" s="157"/>
      <c r="K91" s="157"/>
      <c r="L91" s="157"/>
      <c r="M91" s="158"/>
      <c r="N91" s="159" t="str">
        <f>IFERROR(VLOOKUP($F91,Лист1!$A$4:$F$72,2,FALSE),"")</f>
        <v/>
      </c>
      <c r="O91" s="159" t="str">
        <f>IFERROR(VLOOKUP($G91,Лист1!$A$4:$F$72,2,FALSE),"")</f>
        <v/>
      </c>
      <c r="P91" s="160" t="str">
        <f>IFERROR(VLOOKUP($H91,Лист1!$A$4:$F$72,2,FALSE),"")</f>
        <v/>
      </c>
      <c r="Q91" s="160" t="str">
        <f>IFERROR(VLOOKUP($I91,Лист1!$A$4:$F$72,2,FALSE),"")</f>
        <v/>
      </c>
      <c r="R91" s="160" t="str">
        <f>IFERROR(VLOOKUP($J91,Лист1!$A$4:$F$72,2,FALSE),"")</f>
        <v/>
      </c>
      <c r="S91" s="160" t="str">
        <f>IFERROR(VLOOKUP($K91,Лист1!$A$4:$F$72,2,FALSE),"")</f>
        <v/>
      </c>
      <c r="T91" s="160" t="str">
        <f>IFERROR(VLOOKUP($L91,Лист1!$A$4:$F$72,2,FALSE),"")</f>
        <v/>
      </c>
      <c r="U91" s="160" t="str">
        <f t="shared" si="60"/>
        <v/>
      </c>
      <c r="V91" s="161" t="str">
        <f>IFERROR(VLOOKUP($F91,Лист1!$A$4:$F$72,3,FALSE),"")</f>
        <v/>
      </c>
      <c r="W91" s="162" t="str">
        <f>IFERROR(VLOOKUP($G91,Лист1!$A$4:$F$72,3,FALSE),"")</f>
        <v/>
      </c>
      <c r="X91" s="162" t="str">
        <f>IFERROR(VLOOKUP($H91,Лист1!$A$4:$F$72,3,FALSE),"")</f>
        <v/>
      </c>
      <c r="Y91" s="162" t="str">
        <f>IFERROR(VLOOKUP($I91,Лист1!$A$4:$F$72,3,FALSE),"")</f>
        <v/>
      </c>
      <c r="Z91" s="162" t="str">
        <f>IFERROR(VLOOKUP($J91,Лист1!$A$4:$F$72,3,FALSE),"")</f>
        <v/>
      </c>
      <c r="AA91" s="162" t="str">
        <f>IFERROR(VLOOKUP($K91,Лист1!$A$4:$F$72,3,FALSE),"")</f>
        <v/>
      </c>
      <c r="AB91" s="162" t="str">
        <f>IFERROR(VLOOKUP($L91,Лист1!$A$4:$F$72,3,FALSE),"")</f>
        <v/>
      </c>
      <c r="AC91" s="162" t="str">
        <f>IFERROR(VLOOKUP($M91,Лист1!$A$4:$F$72,3,FALSE),"")</f>
        <v/>
      </c>
      <c r="AD91" s="163">
        <f t="shared" si="72"/>
        <v>0</v>
      </c>
      <c r="AE91" s="164">
        <f t="shared" si="73"/>
        <v>0</v>
      </c>
      <c r="AF91" s="165">
        <f t="shared" si="74"/>
        <v>0</v>
      </c>
      <c r="AG91" s="165">
        <f t="shared" si="75"/>
        <v>0</v>
      </c>
      <c r="AH91" s="165">
        <f t="shared" si="76"/>
        <v>0</v>
      </c>
      <c r="AI91" s="166">
        <f t="shared" si="77"/>
        <v>0</v>
      </c>
      <c r="AJ91" s="166" t="str">
        <f t="shared" si="61"/>
        <v>000</v>
      </c>
      <c r="AK91" s="166" t="str">
        <f t="shared" si="62"/>
        <v>000</v>
      </c>
      <c r="AL91" s="167"/>
      <c r="AM91" s="168" t="str">
        <f t="shared" si="78"/>
        <v>км 0+000 - км 0+000</v>
      </c>
      <c r="AN91" s="169" t="str">
        <f t="shared" si="63"/>
        <v/>
      </c>
      <c r="AO91" s="170" t="e">
        <f t="shared" si="64"/>
        <v>#VALUE!</v>
      </c>
      <c r="AP91" s="171">
        <f t="shared" si="79"/>
        <v>0</v>
      </c>
      <c r="AQ91" s="172">
        <f t="shared" si="80"/>
        <v>0</v>
      </c>
      <c r="AR91" s="173"/>
      <c r="AS91" s="174">
        <f t="shared" si="81"/>
        <v>0</v>
      </c>
      <c r="AT91" s="174">
        <f t="shared" si="82"/>
        <v>0</v>
      </c>
      <c r="AU91" s="175">
        <f t="shared" si="83"/>
        <v>0</v>
      </c>
      <c r="AV91" s="176">
        <f t="shared" si="84"/>
        <v>0</v>
      </c>
      <c r="AW91" s="176" t="str">
        <f t="shared" si="85"/>
        <v>-</v>
      </c>
      <c r="AX91" s="177"/>
      <c r="AY91" s="178" t="str">
        <f t="shared" si="65"/>
        <v>км 0+000 - км 0+000</v>
      </c>
      <c r="AZ91" s="179" t="str">
        <f t="shared" si="66"/>
        <v>-</v>
      </c>
      <c r="BA91" s="180">
        <f t="shared" si="67"/>
        <v>0.5</v>
      </c>
      <c r="BB91" s="177"/>
      <c r="BC91" s="177"/>
      <c r="BD91" s="175" t="str">
        <f t="shared" si="68"/>
        <v>км 0+000 - км 0+000</v>
      </c>
      <c r="BE91" s="181">
        <f t="shared" si="69"/>
        <v>0.5</v>
      </c>
      <c r="BF91" s="182" t="e">
        <f t="shared" ca="1" si="86"/>
        <v>#N/A</v>
      </c>
    </row>
    <row r="92" spans="1:58" ht="16.5" x14ac:dyDescent="0.25">
      <c r="A92" s="110">
        <f t="shared" si="71"/>
        <v>0</v>
      </c>
      <c r="B92" s="110"/>
      <c r="C92" s="111">
        <f t="shared" si="70"/>
        <v>0</v>
      </c>
      <c r="D92" s="112"/>
      <c r="E92" s="113"/>
      <c r="F92" s="113"/>
      <c r="G92" s="113"/>
      <c r="H92" s="113"/>
      <c r="I92" s="113"/>
      <c r="J92" s="113"/>
      <c r="K92" s="113"/>
      <c r="L92" s="113"/>
      <c r="M92" s="114"/>
      <c r="N92" s="147" t="str">
        <f>IFERROR(VLOOKUP($F92,Лист1!$A$4:$F$72,2,FALSE),"")</f>
        <v/>
      </c>
      <c r="O92" s="147" t="str">
        <f>IFERROR(VLOOKUP($G92,Лист1!$A$4:$F$72,2,FALSE),"")</f>
        <v/>
      </c>
      <c r="P92" s="115" t="str">
        <f>IFERROR(VLOOKUP($H92,Лист1!$A$4:$F$72,2,FALSE),"")</f>
        <v/>
      </c>
      <c r="Q92" s="115" t="str">
        <f>IFERROR(VLOOKUP($I92,Лист1!$A$4:$F$72,2,FALSE),"")</f>
        <v/>
      </c>
      <c r="R92" s="115" t="str">
        <f>IFERROR(VLOOKUP($J92,Лист1!$A$4:$F$72,2,FALSE),"")</f>
        <v/>
      </c>
      <c r="S92" s="115" t="str">
        <f>IFERROR(VLOOKUP($K92,Лист1!$A$4:$F$72,2,FALSE),"")</f>
        <v/>
      </c>
      <c r="T92" s="115" t="str">
        <f>IFERROR(VLOOKUP($L92,Лист1!$A$4:$F$72,2,FALSE),"")</f>
        <v/>
      </c>
      <c r="U92" s="115" t="str">
        <f t="shared" si="60"/>
        <v/>
      </c>
      <c r="V92" s="148" t="str">
        <f>IFERROR(VLOOKUP($F92,Лист1!$A$4:$F$72,3,FALSE),"")</f>
        <v/>
      </c>
      <c r="W92" s="116" t="str">
        <f>IFERROR(VLOOKUP($G92,Лист1!$A$4:$F$72,3,FALSE),"")</f>
        <v/>
      </c>
      <c r="X92" s="116" t="str">
        <f>IFERROR(VLOOKUP($H92,Лист1!$A$4:$F$72,3,FALSE),"")</f>
        <v/>
      </c>
      <c r="Y92" s="116" t="str">
        <f>IFERROR(VLOOKUP($I92,Лист1!$A$4:$F$72,3,FALSE),"")</f>
        <v/>
      </c>
      <c r="Z92" s="116" t="str">
        <f>IFERROR(VLOOKUP($J92,Лист1!$A$4:$F$72,3,FALSE),"")</f>
        <v/>
      </c>
      <c r="AA92" s="116" t="str">
        <f>IFERROR(VLOOKUP($K92,Лист1!$A$4:$F$72,3,FALSE),"")</f>
        <v/>
      </c>
      <c r="AB92" s="116" t="str">
        <f>IFERROR(VLOOKUP($L92,Лист1!$A$4:$F$72,3,FALSE),"")</f>
        <v/>
      </c>
      <c r="AC92" s="116" t="str">
        <f>IFERROR(VLOOKUP($M92,Лист1!$A$4:$F$72,3,FALSE),"")</f>
        <v/>
      </c>
      <c r="AD92" s="152">
        <f t="shared" si="72"/>
        <v>0</v>
      </c>
      <c r="AE92" s="118">
        <f t="shared" si="73"/>
        <v>0</v>
      </c>
      <c r="AF92" s="119">
        <f t="shared" si="74"/>
        <v>0</v>
      </c>
      <c r="AG92" s="119">
        <f t="shared" si="75"/>
        <v>0</v>
      </c>
      <c r="AH92" s="119">
        <f t="shared" si="76"/>
        <v>0</v>
      </c>
      <c r="AI92" s="121">
        <f t="shared" si="77"/>
        <v>0</v>
      </c>
      <c r="AJ92" s="121" t="str">
        <f t="shared" si="61"/>
        <v>000</v>
      </c>
      <c r="AK92" s="121" t="str">
        <f t="shared" si="62"/>
        <v>000</v>
      </c>
      <c r="AL92" s="122"/>
      <c r="AM92" s="123" t="str">
        <f t="shared" si="78"/>
        <v>км 0+000 - км 0+000</v>
      </c>
      <c r="AN92" s="124" t="str">
        <f t="shared" si="63"/>
        <v/>
      </c>
      <c r="AO92" s="153" t="e">
        <f t="shared" si="64"/>
        <v>#VALUE!</v>
      </c>
      <c r="AP92" s="125">
        <f t="shared" si="79"/>
        <v>0</v>
      </c>
      <c r="AQ92" s="120">
        <f t="shared" si="80"/>
        <v>0</v>
      </c>
      <c r="AR92" s="126"/>
      <c r="AS92" s="127">
        <f t="shared" si="81"/>
        <v>0</v>
      </c>
      <c r="AT92" s="127">
        <f t="shared" si="82"/>
        <v>0</v>
      </c>
      <c r="AU92" s="128">
        <f t="shared" si="83"/>
        <v>0</v>
      </c>
      <c r="AV92" s="129">
        <f t="shared" si="84"/>
        <v>0</v>
      </c>
      <c r="AW92" s="129" t="str">
        <f t="shared" si="85"/>
        <v>-</v>
      </c>
      <c r="AX92" s="130"/>
      <c r="AY92" s="127" t="str">
        <f t="shared" si="65"/>
        <v>км 0+000 - км 0+000</v>
      </c>
      <c r="AZ92" s="129" t="str">
        <f t="shared" si="66"/>
        <v>-</v>
      </c>
      <c r="BA92" s="131">
        <f t="shared" si="67"/>
        <v>0.5</v>
      </c>
      <c r="BB92" s="130"/>
      <c r="BC92" s="130"/>
      <c r="BD92" s="128" t="str">
        <f t="shared" si="68"/>
        <v>км 0+000 - км 0+000</v>
      </c>
      <c r="BE92" s="131">
        <f t="shared" si="69"/>
        <v>0.5</v>
      </c>
      <c r="BF92" s="154" t="e">
        <f t="shared" ca="1" si="86"/>
        <v>#N/A</v>
      </c>
    </row>
    <row r="93" spans="1:58" ht="16.5" x14ac:dyDescent="0.25">
      <c r="A93" s="110">
        <f t="shared" si="71"/>
        <v>0</v>
      </c>
      <c r="B93" s="110"/>
      <c r="C93" s="111">
        <f t="shared" si="70"/>
        <v>0</v>
      </c>
      <c r="D93" s="155"/>
      <c r="E93" s="156"/>
      <c r="F93" s="156"/>
      <c r="G93" s="157"/>
      <c r="H93" s="157"/>
      <c r="I93" s="157"/>
      <c r="J93" s="157"/>
      <c r="K93" s="157"/>
      <c r="L93" s="157"/>
      <c r="M93" s="158"/>
      <c r="N93" s="159" t="str">
        <f>IFERROR(VLOOKUP($F93,Лист1!$A$4:$F$72,2,FALSE),"")</f>
        <v/>
      </c>
      <c r="O93" s="159" t="str">
        <f>IFERROR(VLOOKUP($G93,Лист1!$A$4:$F$72,2,FALSE),"")</f>
        <v/>
      </c>
      <c r="P93" s="160" t="str">
        <f>IFERROR(VLOOKUP($H93,Лист1!$A$4:$F$72,2,FALSE),"")</f>
        <v/>
      </c>
      <c r="Q93" s="160" t="str">
        <f>IFERROR(VLOOKUP($I93,Лист1!$A$4:$F$72,2,FALSE),"")</f>
        <v/>
      </c>
      <c r="R93" s="160" t="str">
        <f>IFERROR(VLOOKUP($J93,Лист1!$A$4:$F$72,2,FALSE),"")</f>
        <v/>
      </c>
      <c r="S93" s="160" t="str">
        <f>IFERROR(VLOOKUP($K93,Лист1!$A$4:$F$72,2,FALSE),"")</f>
        <v/>
      </c>
      <c r="T93" s="160" t="str">
        <f>IFERROR(VLOOKUP($L93,Лист1!$A$4:$F$72,2,FALSE),"")</f>
        <v/>
      </c>
      <c r="U93" s="160" t="str">
        <f t="shared" si="60"/>
        <v/>
      </c>
      <c r="V93" s="161" t="str">
        <f>IFERROR(VLOOKUP($F93,Лист1!$A$4:$F$72,3,FALSE),"")</f>
        <v/>
      </c>
      <c r="W93" s="162" t="str">
        <f>IFERROR(VLOOKUP($G93,Лист1!$A$4:$F$72,3,FALSE),"")</f>
        <v/>
      </c>
      <c r="X93" s="162" t="str">
        <f>IFERROR(VLOOKUP($H93,Лист1!$A$4:$F$72,3,FALSE),"")</f>
        <v/>
      </c>
      <c r="Y93" s="162" t="str">
        <f>IFERROR(VLOOKUP($I93,Лист1!$A$4:$F$72,3,FALSE),"")</f>
        <v/>
      </c>
      <c r="Z93" s="162" t="str">
        <f>IFERROR(VLOOKUP($J93,Лист1!$A$4:$F$72,3,FALSE),"")</f>
        <v/>
      </c>
      <c r="AA93" s="162" t="str">
        <f>IFERROR(VLOOKUP($K93,Лист1!$A$4:$F$72,3,FALSE),"")</f>
        <v/>
      </c>
      <c r="AB93" s="162" t="str">
        <f>IFERROR(VLOOKUP($L93,Лист1!$A$4:$F$72,3,FALSE),"")</f>
        <v/>
      </c>
      <c r="AC93" s="162" t="str">
        <f>IFERROR(VLOOKUP($M93,Лист1!$A$4:$F$72,3,FALSE),"")</f>
        <v/>
      </c>
      <c r="AD93" s="163">
        <f t="shared" si="72"/>
        <v>0</v>
      </c>
      <c r="AE93" s="164">
        <f t="shared" si="73"/>
        <v>0</v>
      </c>
      <c r="AF93" s="165">
        <f t="shared" si="74"/>
        <v>0</v>
      </c>
      <c r="AG93" s="165">
        <f t="shared" si="75"/>
        <v>0</v>
      </c>
      <c r="AH93" s="165">
        <f t="shared" si="76"/>
        <v>0</v>
      </c>
      <c r="AI93" s="166">
        <f t="shared" si="77"/>
        <v>0</v>
      </c>
      <c r="AJ93" s="166" t="str">
        <f t="shared" si="61"/>
        <v>000</v>
      </c>
      <c r="AK93" s="166" t="str">
        <f t="shared" si="62"/>
        <v>000</v>
      </c>
      <c r="AL93" s="167"/>
      <c r="AM93" s="168" t="str">
        <f t="shared" si="78"/>
        <v>км 0+000 - км 0+000</v>
      </c>
      <c r="AN93" s="169" t="str">
        <f t="shared" si="63"/>
        <v/>
      </c>
      <c r="AO93" s="170" t="e">
        <f t="shared" si="64"/>
        <v>#VALUE!</v>
      </c>
      <c r="AP93" s="171">
        <f t="shared" si="79"/>
        <v>0</v>
      </c>
      <c r="AQ93" s="172">
        <f t="shared" si="80"/>
        <v>0</v>
      </c>
      <c r="AR93" s="173"/>
      <c r="AS93" s="174">
        <f t="shared" si="81"/>
        <v>0</v>
      </c>
      <c r="AT93" s="174">
        <f t="shared" si="82"/>
        <v>0</v>
      </c>
      <c r="AU93" s="175">
        <f t="shared" si="83"/>
        <v>0</v>
      </c>
      <c r="AV93" s="176">
        <f t="shared" si="84"/>
        <v>0</v>
      </c>
      <c r="AW93" s="176" t="str">
        <f t="shared" si="85"/>
        <v>-</v>
      </c>
      <c r="AX93" s="177"/>
      <c r="AY93" s="178" t="str">
        <f t="shared" si="65"/>
        <v>км 0+000 - км 0+000</v>
      </c>
      <c r="AZ93" s="179" t="str">
        <f t="shared" si="66"/>
        <v>-</v>
      </c>
      <c r="BA93" s="180">
        <f t="shared" si="67"/>
        <v>0.5</v>
      </c>
      <c r="BB93" s="177"/>
      <c r="BC93" s="177"/>
      <c r="BD93" s="175" t="str">
        <f t="shared" si="68"/>
        <v>км 0+000 - км 0+000</v>
      </c>
      <c r="BE93" s="181">
        <f t="shared" si="69"/>
        <v>0.5</v>
      </c>
      <c r="BF93" s="182" t="e">
        <f t="shared" ca="1" si="86"/>
        <v>#N/A</v>
      </c>
    </row>
    <row r="94" spans="1:58" ht="16.5" x14ac:dyDescent="0.25">
      <c r="A94" s="110">
        <f t="shared" si="71"/>
        <v>0</v>
      </c>
      <c r="B94" s="110"/>
      <c r="C94" s="111">
        <f t="shared" si="70"/>
        <v>0</v>
      </c>
      <c r="D94" s="112"/>
      <c r="E94" s="113"/>
      <c r="F94" s="113"/>
      <c r="G94" s="113"/>
      <c r="H94" s="113"/>
      <c r="I94" s="113"/>
      <c r="J94" s="113"/>
      <c r="K94" s="113"/>
      <c r="L94" s="113"/>
      <c r="M94" s="114"/>
      <c r="N94" s="147" t="str">
        <f>IFERROR(VLOOKUP($F94,Лист1!$A$4:$F$72,2,FALSE),"")</f>
        <v/>
      </c>
      <c r="O94" s="147" t="str">
        <f>IFERROR(VLOOKUP($G94,Лист1!$A$4:$F$72,2,FALSE),"")</f>
        <v/>
      </c>
      <c r="P94" s="115" t="str">
        <f>IFERROR(VLOOKUP($H94,Лист1!$A$4:$F$72,2,FALSE),"")</f>
        <v/>
      </c>
      <c r="Q94" s="115" t="str">
        <f>IFERROR(VLOOKUP($I94,Лист1!$A$4:$F$72,2,FALSE),"")</f>
        <v/>
      </c>
      <c r="R94" s="115" t="str">
        <f>IFERROR(VLOOKUP($J94,Лист1!$A$4:$F$72,2,FALSE),"")</f>
        <v/>
      </c>
      <c r="S94" s="115" t="str">
        <f>IFERROR(VLOOKUP($K94,Лист1!$A$4:$F$72,2,FALSE),"")</f>
        <v/>
      </c>
      <c r="T94" s="115" t="str">
        <f>IFERROR(VLOOKUP($L94,Лист1!$A$4:$F$72,2,FALSE),"")</f>
        <v/>
      </c>
      <c r="U94" s="115" t="str">
        <f t="shared" si="60"/>
        <v/>
      </c>
      <c r="V94" s="148" t="str">
        <f>IFERROR(VLOOKUP($F94,Лист1!$A$4:$F$72,3,FALSE),"")</f>
        <v/>
      </c>
      <c r="W94" s="116" t="str">
        <f>IFERROR(VLOOKUP($G94,Лист1!$A$4:$F$72,3,FALSE),"")</f>
        <v/>
      </c>
      <c r="X94" s="116" t="str">
        <f>IFERROR(VLOOKUP($H94,Лист1!$A$4:$F$72,3,FALSE),"")</f>
        <v/>
      </c>
      <c r="Y94" s="116" t="str">
        <f>IFERROR(VLOOKUP($I94,Лист1!$A$4:$F$72,3,FALSE),"")</f>
        <v/>
      </c>
      <c r="Z94" s="116" t="str">
        <f>IFERROR(VLOOKUP($J94,Лист1!$A$4:$F$72,3,FALSE),"")</f>
        <v/>
      </c>
      <c r="AA94" s="116" t="str">
        <f>IFERROR(VLOOKUP($K94,Лист1!$A$4:$F$72,3,FALSE),"")</f>
        <v/>
      </c>
      <c r="AB94" s="116" t="str">
        <f>IFERROR(VLOOKUP($L94,Лист1!$A$4:$F$72,3,FALSE),"")</f>
        <v/>
      </c>
      <c r="AC94" s="116" t="str">
        <f>IFERROR(VLOOKUP($M94,Лист1!$A$4:$F$72,3,FALSE),"")</f>
        <v/>
      </c>
      <c r="AD94" s="152">
        <f t="shared" si="72"/>
        <v>0</v>
      </c>
      <c r="AE94" s="118">
        <f t="shared" si="73"/>
        <v>0</v>
      </c>
      <c r="AF94" s="119">
        <f t="shared" si="74"/>
        <v>0</v>
      </c>
      <c r="AG94" s="119">
        <f t="shared" si="75"/>
        <v>0</v>
      </c>
      <c r="AH94" s="119">
        <f t="shared" si="76"/>
        <v>0</v>
      </c>
      <c r="AI94" s="121">
        <f t="shared" si="77"/>
        <v>0</v>
      </c>
      <c r="AJ94" s="121" t="str">
        <f t="shared" si="61"/>
        <v>000</v>
      </c>
      <c r="AK94" s="121" t="str">
        <f t="shared" si="62"/>
        <v>000</v>
      </c>
      <c r="AL94" s="122"/>
      <c r="AM94" s="123" t="str">
        <f t="shared" si="78"/>
        <v>км 0+000 - км 0+000</v>
      </c>
      <c r="AN94" s="124" t="str">
        <f t="shared" si="63"/>
        <v/>
      </c>
      <c r="AO94" s="153" t="e">
        <f t="shared" si="64"/>
        <v>#VALUE!</v>
      </c>
      <c r="AP94" s="125">
        <f t="shared" si="79"/>
        <v>0</v>
      </c>
      <c r="AQ94" s="120">
        <f t="shared" si="80"/>
        <v>0</v>
      </c>
      <c r="AR94" s="126"/>
      <c r="AS94" s="127">
        <f t="shared" si="81"/>
        <v>0</v>
      </c>
      <c r="AT94" s="127">
        <f t="shared" si="82"/>
        <v>0</v>
      </c>
      <c r="AU94" s="128">
        <f t="shared" si="83"/>
        <v>0</v>
      </c>
      <c r="AV94" s="129">
        <f t="shared" si="84"/>
        <v>0</v>
      </c>
      <c r="AW94" s="129" t="str">
        <f t="shared" si="85"/>
        <v>-</v>
      </c>
      <c r="AX94" s="130"/>
      <c r="AY94" s="127" t="str">
        <f t="shared" si="65"/>
        <v>км 0+000 - км 0+000</v>
      </c>
      <c r="AZ94" s="129" t="str">
        <f t="shared" si="66"/>
        <v>-</v>
      </c>
      <c r="BA94" s="131">
        <f t="shared" si="67"/>
        <v>0.5</v>
      </c>
      <c r="BB94" s="130"/>
      <c r="BC94" s="130"/>
      <c r="BD94" s="128" t="str">
        <f t="shared" si="68"/>
        <v>км 0+000 - км 0+000</v>
      </c>
      <c r="BE94" s="131">
        <f t="shared" si="69"/>
        <v>0.5</v>
      </c>
      <c r="BF94" s="154" t="e">
        <f t="shared" ca="1" si="86"/>
        <v>#N/A</v>
      </c>
    </row>
    <row r="95" spans="1:58" ht="16.5" x14ac:dyDescent="0.25">
      <c r="A95" s="110">
        <f t="shared" si="71"/>
        <v>0</v>
      </c>
      <c r="B95" s="110"/>
      <c r="C95" s="111">
        <f t="shared" si="70"/>
        <v>0</v>
      </c>
      <c r="D95" s="155"/>
      <c r="E95" s="156"/>
      <c r="F95" s="156"/>
      <c r="G95" s="157"/>
      <c r="H95" s="157"/>
      <c r="I95" s="157"/>
      <c r="J95" s="157"/>
      <c r="K95" s="157"/>
      <c r="L95" s="157"/>
      <c r="M95" s="158"/>
      <c r="N95" s="159" t="str">
        <f>IFERROR(VLOOKUP($F95,Лист1!$A$4:$F$72,2,FALSE),"")</f>
        <v/>
      </c>
      <c r="O95" s="159" t="str">
        <f>IFERROR(VLOOKUP($G95,Лист1!$A$4:$F$72,2,FALSE),"")</f>
        <v/>
      </c>
      <c r="P95" s="160" t="str">
        <f>IFERROR(VLOOKUP($H95,Лист1!$A$4:$F$72,2,FALSE),"")</f>
        <v/>
      </c>
      <c r="Q95" s="160" t="str">
        <f>IFERROR(VLOOKUP($I95,Лист1!$A$4:$F$72,2,FALSE),"")</f>
        <v/>
      </c>
      <c r="R95" s="160" t="str">
        <f>IFERROR(VLOOKUP($J95,Лист1!$A$4:$F$72,2,FALSE),"")</f>
        <v/>
      </c>
      <c r="S95" s="160" t="str">
        <f>IFERROR(VLOOKUP($K95,Лист1!$A$4:$F$72,2,FALSE),"")</f>
        <v/>
      </c>
      <c r="T95" s="160" t="str">
        <f>IFERROR(VLOOKUP($L95,Лист1!$A$4:$F$72,2,FALSE),"")</f>
        <v/>
      </c>
      <c r="U95" s="160" t="str">
        <f t="shared" si="60"/>
        <v/>
      </c>
      <c r="V95" s="161" t="str">
        <f>IFERROR(VLOOKUP($F95,Лист1!$A$4:$F$72,3,FALSE),"")</f>
        <v/>
      </c>
      <c r="W95" s="162" t="str">
        <f>IFERROR(VLOOKUP($G95,Лист1!$A$4:$F$72,3,FALSE),"")</f>
        <v/>
      </c>
      <c r="X95" s="162" t="str">
        <f>IFERROR(VLOOKUP($H95,Лист1!$A$4:$F$72,3,FALSE),"")</f>
        <v/>
      </c>
      <c r="Y95" s="162" t="str">
        <f>IFERROR(VLOOKUP($I95,Лист1!$A$4:$F$72,3,FALSE),"")</f>
        <v/>
      </c>
      <c r="Z95" s="162" t="str">
        <f>IFERROR(VLOOKUP($J95,Лист1!$A$4:$F$72,3,FALSE),"")</f>
        <v/>
      </c>
      <c r="AA95" s="162" t="str">
        <f>IFERROR(VLOOKUP($K95,Лист1!$A$4:$F$72,3,FALSE),"")</f>
        <v/>
      </c>
      <c r="AB95" s="162" t="str">
        <f>IFERROR(VLOOKUP($L95,Лист1!$A$4:$F$72,3,FALSE),"")</f>
        <v/>
      </c>
      <c r="AC95" s="162" t="str">
        <f>IFERROR(VLOOKUP($M95,Лист1!$A$4:$F$72,3,FALSE),"")</f>
        <v/>
      </c>
      <c r="AD95" s="163">
        <f t="shared" si="72"/>
        <v>0</v>
      </c>
      <c r="AE95" s="164">
        <f t="shared" si="73"/>
        <v>0</v>
      </c>
      <c r="AF95" s="165">
        <f t="shared" si="74"/>
        <v>0</v>
      </c>
      <c r="AG95" s="165">
        <f t="shared" si="75"/>
        <v>0</v>
      </c>
      <c r="AH95" s="165">
        <f t="shared" si="76"/>
        <v>0</v>
      </c>
      <c r="AI95" s="166">
        <f t="shared" si="77"/>
        <v>0</v>
      </c>
      <c r="AJ95" s="166" t="str">
        <f t="shared" si="61"/>
        <v>000</v>
      </c>
      <c r="AK95" s="166" t="str">
        <f t="shared" si="62"/>
        <v>000</v>
      </c>
      <c r="AL95" s="167"/>
      <c r="AM95" s="168" t="str">
        <f t="shared" si="78"/>
        <v>км 0+000 - км 0+000</v>
      </c>
      <c r="AN95" s="169" t="str">
        <f t="shared" si="63"/>
        <v/>
      </c>
      <c r="AO95" s="170" t="e">
        <f t="shared" si="64"/>
        <v>#VALUE!</v>
      </c>
      <c r="AP95" s="171">
        <f t="shared" si="79"/>
        <v>0</v>
      </c>
      <c r="AQ95" s="172">
        <f t="shared" si="80"/>
        <v>0</v>
      </c>
      <c r="AR95" s="173"/>
      <c r="AS95" s="174">
        <f t="shared" si="81"/>
        <v>0</v>
      </c>
      <c r="AT95" s="174">
        <f t="shared" si="82"/>
        <v>0</v>
      </c>
      <c r="AU95" s="175">
        <f t="shared" si="83"/>
        <v>0</v>
      </c>
      <c r="AV95" s="176">
        <f t="shared" si="84"/>
        <v>0</v>
      </c>
      <c r="AW95" s="176" t="str">
        <f t="shared" si="85"/>
        <v>-</v>
      </c>
      <c r="AX95" s="177"/>
      <c r="AY95" s="178" t="str">
        <f t="shared" si="65"/>
        <v>км 0+000 - км 0+000</v>
      </c>
      <c r="AZ95" s="179" t="str">
        <f t="shared" si="66"/>
        <v>-</v>
      </c>
      <c r="BA95" s="180">
        <f t="shared" si="67"/>
        <v>0.5</v>
      </c>
      <c r="BB95" s="177"/>
      <c r="BC95" s="177"/>
      <c r="BD95" s="175" t="str">
        <f t="shared" si="68"/>
        <v>км 0+000 - км 0+000</v>
      </c>
      <c r="BE95" s="181">
        <f t="shared" si="69"/>
        <v>0.5</v>
      </c>
      <c r="BF95" s="182" t="e">
        <f t="shared" ca="1" si="86"/>
        <v>#N/A</v>
      </c>
    </row>
    <row r="96" spans="1:58" ht="16.5" x14ac:dyDescent="0.25">
      <c r="A96" s="110">
        <f t="shared" si="71"/>
        <v>0</v>
      </c>
      <c r="B96" s="110"/>
      <c r="C96" s="111">
        <f t="shared" si="70"/>
        <v>0</v>
      </c>
      <c r="D96" s="112"/>
      <c r="E96" s="113"/>
      <c r="F96" s="113"/>
      <c r="G96" s="113"/>
      <c r="H96" s="113"/>
      <c r="I96" s="113"/>
      <c r="J96" s="113"/>
      <c r="K96" s="113"/>
      <c r="L96" s="113"/>
      <c r="M96" s="114"/>
      <c r="N96" s="147" t="str">
        <f>IFERROR(VLOOKUP($F96,Лист1!$A$4:$F$72,2,FALSE),"")</f>
        <v/>
      </c>
      <c r="O96" s="147" t="str">
        <f>IFERROR(VLOOKUP($G96,Лист1!$A$4:$F$72,2,FALSE),"")</f>
        <v/>
      </c>
      <c r="P96" s="115" t="str">
        <f>IFERROR(VLOOKUP($H96,Лист1!$A$4:$F$72,2,FALSE),"")</f>
        <v/>
      </c>
      <c r="Q96" s="115" t="str">
        <f>IFERROR(VLOOKUP($I96,Лист1!$A$4:$F$72,2,FALSE),"")</f>
        <v/>
      </c>
      <c r="R96" s="115" t="str">
        <f>IFERROR(VLOOKUP($J96,Лист1!$A$4:$F$72,2,FALSE),"")</f>
        <v/>
      </c>
      <c r="S96" s="115" t="str">
        <f>IFERROR(VLOOKUP($K96,Лист1!$A$4:$F$72,2,FALSE),"")</f>
        <v/>
      </c>
      <c r="T96" s="115" t="str">
        <f>IFERROR(VLOOKUP($L96,Лист1!$A$4:$F$72,2,FALSE),"")</f>
        <v/>
      </c>
      <c r="U96" s="115" t="str">
        <f t="shared" si="60"/>
        <v/>
      </c>
      <c r="V96" s="148" t="str">
        <f>IFERROR(VLOOKUP($F96,Лист1!$A$4:$F$72,3,FALSE),"")</f>
        <v/>
      </c>
      <c r="W96" s="116" t="str">
        <f>IFERROR(VLOOKUP($G96,Лист1!$A$4:$F$72,3,FALSE),"")</f>
        <v/>
      </c>
      <c r="X96" s="116" t="str">
        <f>IFERROR(VLOOKUP($H96,Лист1!$A$4:$F$72,3,FALSE),"")</f>
        <v/>
      </c>
      <c r="Y96" s="116" t="str">
        <f>IFERROR(VLOOKUP($I96,Лист1!$A$4:$F$72,3,FALSE),"")</f>
        <v/>
      </c>
      <c r="Z96" s="116" t="str">
        <f>IFERROR(VLOOKUP($J96,Лист1!$A$4:$F$72,3,FALSE),"")</f>
        <v/>
      </c>
      <c r="AA96" s="116" t="str">
        <f>IFERROR(VLOOKUP($K96,Лист1!$A$4:$F$72,3,FALSE),"")</f>
        <v/>
      </c>
      <c r="AB96" s="116" t="str">
        <f>IFERROR(VLOOKUP($L96,Лист1!$A$4:$F$72,3,FALSE),"")</f>
        <v/>
      </c>
      <c r="AC96" s="116" t="str">
        <f>IFERROR(VLOOKUP($M96,Лист1!$A$4:$F$72,3,FALSE),"")</f>
        <v/>
      </c>
      <c r="AD96" s="152">
        <f t="shared" si="72"/>
        <v>0</v>
      </c>
      <c r="AE96" s="118">
        <f t="shared" si="73"/>
        <v>0</v>
      </c>
      <c r="AF96" s="119">
        <f t="shared" si="74"/>
        <v>0</v>
      </c>
      <c r="AG96" s="119">
        <f t="shared" si="75"/>
        <v>0</v>
      </c>
      <c r="AH96" s="119">
        <f t="shared" si="76"/>
        <v>0</v>
      </c>
      <c r="AI96" s="121">
        <f t="shared" si="77"/>
        <v>0</v>
      </c>
      <c r="AJ96" s="121" t="str">
        <f t="shared" si="61"/>
        <v>000</v>
      </c>
      <c r="AK96" s="121" t="str">
        <f t="shared" si="62"/>
        <v>000</v>
      </c>
      <c r="AL96" s="122"/>
      <c r="AM96" s="123" t="str">
        <f t="shared" si="78"/>
        <v>км 0+000 - км 0+000</v>
      </c>
      <c r="AN96" s="124" t="str">
        <f t="shared" si="63"/>
        <v/>
      </c>
      <c r="AO96" s="153" t="e">
        <f t="shared" si="64"/>
        <v>#VALUE!</v>
      </c>
      <c r="AP96" s="125">
        <f t="shared" si="79"/>
        <v>0</v>
      </c>
      <c r="AQ96" s="120">
        <f t="shared" si="80"/>
        <v>0</v>
      </c>
      <c r="AR96" s="126"/>
      <c r="AS96" s="127">
        <f t="shared" si="81"/>
        <v>0</v>
      </c>
      <c r="AT96" s="127">
        <f t="shared" si="82"/>
        <v>0</v>
      </c>
      <c r="AU96" s="128">
        <f t="shared" si="83"/>
        <v>0</v>
      </c>
      <c r="AV96" s="129">
        <f t="shared" si="84"/>
        <v>0</v>
      </c>
      <c r="AW96" s="129" t="str">
        <f t="shared" si="85"/>
        <v>-</v>
      </c>
      <c r="AX96" s="130"/>
      <c r="AY96" s="127" t="str">
        <f t="shared" si="65"/>
        <v>км 0+000 - км 0+000</v>
      </c>
      <c r="AZ96" s="129" t="str">
        <f t="shared" si="66"/>
        <v>-</v>
      </c>
      <c r="BA96" s="131">
        <f t="shared" si="67"/>
        <v>0.5</v>
      </c>
      <c r="BB96" s="130"/>
      <c r="BC96" s="130"/>
      <c r="BD96" s="128" t="str">
        <f t="shared" si="68"/>
        <v>км 0+000 - км 0+000</v>
      </c>
      <c r="BE96" s="131">
        <f t="shared" si="69"/>
        <v>0.5</v>
      </c>
      <c r="BF96" s="154" t="e">
        <f t="shared" ca="1" si="86"/>
        <v>#N/A</v>
      </c>
    </row>
    <row r="97" spans="1:58" ht="16.5" x14ac:dyDescent="0.25">
      <c r="A97" s="110">
        <f t="shared" si="71"/>
        <v>0</v>
      </c>
      <c r="B97" s="110"/>
      <c r="C97" s="111">
        <f t="shared" si="70"/>
        <v>0</v>
      </c>
      <c r="D97" s="155"/>
      <c r="E97" s="156"/>
      <c r="F97" s="156"/>
      <c r="G97" s="157"/>
      <c r="H97" s="157"/>
      <c r="I97" s="157"/>
      <c r="J97" s="157"/>
      <c r="K97" s="157"/>
      <c r="L97" s="157"/>
      <c r="M97" s="158"/>
      <c r="N97" s="159" t="str">
        <f>IFERROR(VLOOKUP($F97,Лист1!$A$4:$F$72,2,FALSE),"")</f>
        <v/>
      </c>
      <c r="O97" s="159" t="str">
        <f>IFERROR(VLOOKUP($G97,Лист1!$A$4:$F$72,2,FALSE),"")</f>
        <v/>
      </c>
      <c r="P97" s="160" t="str">
        <f>IFERROR(VLOOKUP($H97,Лист1!$A$4:$F$72,2,FALSE),"")</f>
        <v/>
      </c>
      <c r="Q97" s="160" t="str">
        <f>IFERROR(VLOOKUP($I97,Лист1!$A$4:$F$72,2,FALSE),"")</f>
        <v/>
      </c>
      <c r="R97" s="160" t="str">
        <f>IFERROR(VLOOKUP($J97,Лист1!$A$4:$F$72,2,FALSE),"")</f>
        <v/>
      </c>
      <c r="S97" s="160" t="str">
        <f>IFERROR(VLOOKUP($K97,Лист1!$A$4:$F$72,2,FALSE),"")</f>
        <v/>
      </c>
      <c r="T97" s="160" t="str">
        <f>IFERROR(VLOOKUP($L97,Лист1!$A$4:$F$72,2,FALSE),"")</f>
        <v/>
      </c>
      <c r="U97" s="160" t="str">
        <f t="shared" si="60"/>
        <v/>
      </c>
      <c r="V97" s="161" t="str">
        <f>IFERROR(VLOOKUP($F97,Лист1!$A$4:$F$72,3,FALSE),"")</f>
        <v/>
      </c>
      <c r="W97" s="162" t="str">
        <f>IFERROR(VLOOKUP($G97,Лист1!$A$4:$F$72,3,FALSE),"")</f>
        <v/>
      </c>
      <c r="X97" s="162" t="str">
        <f>IFERROR(VLOOKUP($H97,Лист1!$A$4:$F$72,3,FALSE),"")</f>
        <v/>
      </c>
      <c r="Y97" s="162" t="str">
        <f>IFERROR(VLOOKUP($I97,Лист1!$A$4:$F$72,3,FALSE),"")</f>
        <v/>
      </c>
      <c r="Z97" s="162" t="str">
        <f>IFERROR(VLOOKUP($J97,Лист1!$A$4:$F$72,3,FALSE),"")</f>
        <v/>
      </c>
      <c r="AA97" s="162" t="str">
        <f>IFERROR(VLOOKUP($K97,Лист1!$A$4:$F$72,3,FALSE),"")</f>
        <v/>
      </c>
      <c r="AB97" s="162" t="str">
        <f>IFERROR(VLOOKUP($L97,Лист1!$A$4:$F$72,3,FALSE),"")</f>
        <v/>
      </c>
      <c r="AC97" s="162" t="str">
        <f>IFERROR(VLOOKUP($M97,Лист1!$A$4:$F$72,3,FALSE),"")</f>
        <v/>
      </c>
      <c r="AD97" s="163">
        <f t="shared" si="72"/>
        <v>0</v>
      </c>
      <c r="AE97" s="164">
        <f t="shared" si="73"/>
        <v>0</v>
      </c>
      <c r="AF97" s="165">
        <f t="shared" si="74"/>
        <v>0</v>
      </c>
      <c r="AG97" s="165">
        <f t="shared" si="75"/>
        <v>0</v>
      </c>
      <c r="AH97" s="165">
        <f t="shared" si="76"/>
        <v>0</v>
      </c>
      <c r="AI97" s="166">
        <f t="shared" si="77"/>
        <v>0</v>
      </c>
      <c r="AJ97" s="166" t="str">
        <f t="shared" si="61"/>
        <v>000</v>
      </c>
      <c r="AK97" s="166" t="str">
        <f t="shared" si="62"/>
        <v>000</v>
      </c>
      <c r="AL97" s="167"/>
      <c r="AM97" s="168" t="str">
        <f t="shared" si="78"/>
        <v>км 0+000 - км 0+000</v>
      </c>
      <c r="AN97" s="169" t="str">
        <f t="shared" si="63"/>
        <v/>
      </c>
      <c r="AO97" s="170" t="e">
        <f t="shared" si="64"/>
        <v>#VALUE!</v>
      </c>
      <c r="AP97" s="171">
        <f t="shared" si="79"/>
        <v>0</v>
      </c>
      <c r="AQ97" s="172">
        <f t="shared" si="80"/>
        <v>0</v>
      </c>
      <c r="AR97" s="173"/>
      <c r="AS97" s="174">
        <f t="shared" si="81"/>
        <v>0</v>
      </c>
      <c r="AT97" s="174">
        <f t="shared" si="82"/>
        <v>0</v>
      </c>
      <c r="AU97" s="175">
        <f t="shared" si="83"/>
        <v>0</v>
      </c>
      <c r="AV97" s="176">
        <f t="shared" si="84"/>
        <v>0</v>
      </c>
      <c r="AW97" s="176" t="str">
        <f t="shared" si="85"/>
        <v>-</v>
      </c>
      <c r="AX97" s="177"/>
      <c r="AY97" s="178" t="str">
        <f t="shared" si="65"/>
        <v>км 0+000 - км 0+000</v>
      </c>
      <c r="AZ97" s="179" t="str">
        <f t="shared" si="66"/>
        <v>-</v>
      </c>
      <c r="BA97" s="180">
        <f t="shared" si="67"/>
        <v>0.5</v>
      </c>
      <c r="BB97" s="177"/>
      <c r="BC97" s="177"/>
      <c r="BD97" s="175" t="str">
        <f t="shared" si="68"/>
        <v>км 0+000 - км 0+000</v>
      </c>
      <c r="BE97" s="181">
        <f t="shared" si="69"/>
        <v>0.5</v>
      </c>
      <c r="BF97" s="182" t="e">
        <f t="shared" ca="1" si="86"/>
        <v>#N/A</v>
      </c>
    </row>
    <row r="98" spans="1:58" ht="16.5" x14ac:dyDescent="0.25">
      <c r="A98" s="110">
        <f t="shared" si="71"/>
        <v>0</v>
      </c>
      <c r="B98" s="110"/>
      <c r="C98" s="111">
        <f t="shared" si="70"/>
        <v>0</v>
      </c>
      <c r="D98" s="112"/>
      <c r="E98" s="113"/>
      <c r="F98" s="113"/>
      <c r="G98" s="113"/>
      <c r="H98" s="113"/>
      <c r="I98" s="113"/>
      <c r="J98" s="113"/>
      <c r="K98" s="113"/>
      <c r="L98" s="113"/>
      <c r="M98" s="114"/>
      <c r="N98" s="147" t="str">
        <f>IFERROR(VLOOKUP($F98,Лист1!$A$4:$F$72,2,FALSE),"")</f>
        <v/>
      </c>
      <c r="O98" s="147" t="str">
        <f>IFERROR(VLOOKUP($G98,Лист1!$A$4:$F$72,2,FALSE),"")</f>
        <v/>
      </c>
      <c r="P98" s="115" t="str">
        <f>IFERROR(VLOOKUP($H98,Лист1!$A$4:$F$72,2,FALSE),"")</f>
        <v/>
      </c>
      <c r="Q98" s="115" t="str">
        <f>IFERROR(VLOOKUP($I98,Лист1!$A$4:$F$72,2,FALSE),"")</f>
        <v/>
      </c>
      <c r="R98" s="115" t="str">
        <f>IFERROR(VLOOKUP($J98,Лист1!$A$4:$F$72,2,FALSE),"")</f>
        <v/>
      </c>
      <c r="S98" s="115" t="str">
        <f>IFERROR(VLOOKUP($K98,Лист1!$A$4:$F$72,2,FALSE),"")</f>
        <v/>
      </c>
      <c r="T98" s="115" t="str">
        <f>IFERROR(VLOOKUP($L98,Лист1!$A$4:$F$72,2,FALSE),"")</f>
        <v/>
      </c>
      <c r="U98" s="115" t="str">
        <f t="shared" si="60"/>
        <v/>
      </c>
      <c r="V98" s="148" t="str">
        <f>IFERROR(VLOOKUP($F98,Лист1!$A$4:$F$72,3,FALSE),"")</f>
        <v/>
      </c>
      <c r="W98" s="116" t="str">
        <f>IFERROR(VLOOKUP($G98,Лист1!$A$4:$F$72,3,FALSE),"")</f>
        <v/>
      </c>
      <c r="X98" s="116" t="str">
        <f>IFERROR(VLOOKUP($H98,Лист1!$A$4:$F$72,3,FALSE),"")</f>
        <v/>
      </c>
      <c r="Y98" s="116" t="str">
        <f>IFERROR(VLOOKUP($I98,Лист1!$A$4:$F$72,3,FALSE),"")</f>
        <v/>
      </c>
      <c r="Z98" s="116" t="str">
        <f>IFERROR(VLOOKUP($J98,Лист1!$A$4:$F$72,3,FALSE),"")</f>
        <v/>
      </c>
      <c r="AA98" s="116" t="str">
        <f>IFERROR(VLOOKUP($K98,Лист1!$A$4:$F$72,3,FALSE),"")</f>
        <v/>
      </c>
      <c r="AB98" s="116" t="str">
        <f>IFERROR(VLOOKUP($L98,Лист1!$A$4:$F$72,3,FALSE),"")</f>
        <v/>
      </c>
      <c r="AC98" s="116" t="str">
        <f>IFERROR(VLOOKUP($M98,Лист1!$A$4:$F$72,3,FALSE),"")</f>
        <v/>
      </c>
      <c r="AD98" s="152">
        <f t="shared" si="72"/>
        <v>0</v>
      </c>
      <c r="AE98" s="118">
        <f t="shared" si="73"/>
        <v>0</v>
      </c>
      <c r="AF98" s="119">
        <f t="shared" si="74"/>
        <v>0</v>
      </c>
      <c r="AG98" s="119">
        <f t="shared" si="75"/>
        <v>0</v>
      </c>
      <c r="AH98" s="119">
        <f t="shared" si="76"/>
        <v>0</v>
      </c>
      <c r="AI98" s="121">
        <f t="shared" si="77"/>
        <v>0</v>
      </c>
      <c r="AJ98" s="121" t="str">
        <f t="shared" si="61"/>
        <v>000</v>
      </c>
      <c r="AK98" s="121" t="str">
        <f t="shared" si="62"/>
        <v>000</v>
      </c>
      <c r="AL98" s="122"/>
      <c r="AM98" s="123" t="str">
        <f t="shared" si="78"/>
        <v>км 0+000 - км 0+000</v>
      </c>
      <c r="AN98" s="124" t="str">
        <f t="shared" si="63"/>
        <v/>
      </c>
      <c r="AO98" s="153" t="e">
        <f t="shared" si="64"/>
        <v>#VALUE!</v>
      </c>
      <c r="AP98" s="125">
        <f t="shared" si="79"/>
        <v>0</v>
      </c>
      <c r="AQ98" s="120">
        <f t="shared" si="80"/>
        <v>0</v>
      </c>
      <c r="AR98" s="126"/>
      <c r="AS98" s="127">
        <f t="shared" si="81"/>
        <v>0</v>
      </c>
      <c r="AT98" s="127">
        <f t="shared" si="82"/>
        <v>0</v>
      </c>
      <c r="AU98" s="128">
        <f t="shared" si="83"/>
        <v>0</v>
      </c>
      <c r="AV98" s="129">
        <f t="shared" si="84"/>
        <v>0</v>
      </c>
      <c r="AW98" s="129" t="str">
        <f t="shared" si="85"/>
        <v>-</v>
      </c>
      <c r="AX98" s="130"/>
      <c r="AY98" s="127" t="str">
        <f t="shared" si="65"/>
        <v>км 0+000 - км 0+000</v>
      </c>
      <c r="AZ98" s="129" t="str">
        <f t="shared" si="66"/>
        <v>-</v>
      </c>
      <c r="BA98" s="131">
        <f t="shared" si="67"/>
        <v>0.5</v>
      </c>
      <c r="BB98" s="130"/>
      <c r="BC98" s="130"/>
      <c r="BD98" s="128" t="str">
        <f t="shared" si="68"/>
        <v>км 0+000 - км 0+000</v>
      </c>
      <c r="BE98" s="131">
        <f t="shared" si="69"/>
        <v>0.5</v>
      </c>
      <c r="BF98" s="154" t="e">
        <f t="shared" ca="1" si="86"/>
        <v>#N/A</v>
      </c>
    </row>
    <row r="99" spans="1:58" ht="16.5" x14ac:dyDescent="0.25">
      <c r="A99" s="110">
        <f t="shared" si="71"/>
        <v>0</v>
      </c>
      <c r="B99" s="110"/>
      <c r="C99" s="111">
        <f t="shared" si="70"/>
        <v>0</v>
      </c>
      <c r="D99" s="155"/>
      <c r="E99" s="156"/>
      <c r="F99" s="156"/>
      <c r="G99" s="157"/>
      <c r="H99" s="157"/>
      <c r="I99" s="157"/>
      <c r="J99" s="157"/>
      <c r="K99" s="157"/>
      <c r="L99" s="157"/>
      <c r="M99" s="158"/>
      <c r="N99" s="159" t="str">
        <f>IFERROR(VLOOKUP($F99,Лист1!$A$4:$F$72,2,FALSE),"")</f>
        <v/>
      </c>
      <c r="O99" s="159" t="str">
        <f>IFERROR(VLOOKUP($G99,Лист1!$A$4:$F$72,2,FALSE),"")</f>
        <v/>
      </c>
      <c r="P99" s="160" t="str">
        <f>IFERROR(VLOOKUP($H99,Лист1!$A$4:$F$72,2,FALSE),"")</f>
        <v/>
      </c>
      <c r="Q99" s="160" t="str">
        <f>IFERROR(VLOOKUP($I99,Лист1!$A$4:$F$72,2,FALSE),"")</f>
        <v/>
      </c>
      <c r="R99" s="160" t="str">
        <f>IFERROR(VLOOKUP($J99,Лист1!$A$4:$F$72,2,FALSE),"")</f>
        <v/>
      </c>
      <c r="S99" s="160" t="str">
        <f>IFERROR(VLOOKUP($K99,Лист1!$A$4:$F$72,2,FALSE),"")</f>
        <v/>
      </c>
      <c r="T99" s="160" t="str">
        <f>IFERROR(VLOOKUP($L99,Лист1!$A$4:$F$72,2,FALSE),"")</f>
        <v/>
      </c>
      <c r="U99" s="160" t="str">
        <f t="shared" si="60"/>
        <v/>
      </c>
      <c r="V99" s="161" t="str">
        <f>IFERROR(VLOOKUP($F99,Лист1!$A$4:$F$72,3,FALSE),"")</f>
        <v/>
      </c>
      <c r="W99" s="162" t="str">
        <f>IFERROR(VLOOKUP($G99,Лист1!$A$4:$F$72,3,FALSE),"")</f>
        <v/>
      </c>
      <c r="X99" s="162" t="str">
        <f>IFERROR(VLOOKUP($H99,Лист1!$A$4:$F$72,3,FALSE),"")</f>
        <v/>
      </c>
      <c r="Y99" s="162" t="str">
        <f>IFERROR(VLOOKUP($I99,Лист1!$A$4:$F$72,3,FALSE),"")</f>
        <v/>
      </c>
      <c r="Z99" s="162" t="str">
        <f>IFERROR(VLOOKUP($J99,Лист1!$A$4:$F$72,3,FALSE),"")</f>
        <v/>
      </c>
      <c r="AA99" s="162" t="str">
        <f>IFERROR(VLOOKUP($K99,Лист1!$A$4:$F$72,3,FALSE),"")</f>
        <v/>
      </c>
      <c r="AB99" s="162" t="str">
        <f>IFERROR(VLOOKUP($L99,Лист1!$A$4:$F$72,3,FALSE),"")</f>
        <v/>
      </c>
      <c r="AC99" s="162" t="str">
        <f>IFERROR(VLOOKUP($M99,Лист1!$A$4:$F$72,3,FALSE),"")</f>
        <v/>
      </c>
      <c r="AD99" s="163">
        <f t="shared" si="72"/>
        <v>0</v>
      </c>
      <c r="AE99" s="164">
        <f t="shared" si="73"/>
        <v>0</v>
      </c>
      <c r="AF99" s="165">
        <f t="shared" si="74"/>
        <v>0</v>
      </c>
      <c r="AG99" s="165">
        <f t="shared" si="75"/>
        <v>0</v>
      </c>
      <c r="AH99" s="165">
        <f t="shared" si="76"/>
        <v>0</v>
      </c>
      <c r="AI99" s="166">
        <f t="shared" si="77"/>
        <v>0</v>
      </c>
      <c r="AJ99" s="166" t="str">
        <f t="shared" si="61"/>
        <v>000</v>
      </c>
      <c r="AK99" s="166" t="str">
        <f t="shared" si="62"/>
        <v>000</v>
      </c>
      <c r="AL99" s="167"/>
      <c r="AM99" s="168" t="str">
        <f t="shared" si="78"/>
        <v>км 0+000 - км 0+000</v>
      </c>
      <c r="AN99" s="169" t="str">
        <f t="shared" si="63"/>
        <v/>
      </c>
      <c r="AO99" s="170" t="e">
        <f t="shared" si="64"/>
        <v>#VALUE!</v>
      </c>
      <c r="AP99" s="171">
        <f t="shared" si="79"/>
        <v>0</v>
      </c>
      <c r="AQ99" s="172">
        <f t="shared" si="80"/>
        <v>0</v>
      </c>
      <c r="AR99" s="173"/>
      <c r="AS99" s="174">
        <f t="shared" si="81"/>
        <v>0</v>
      </c>
      <c r="AT99" s="174">
        <f t="shared" si="82"/>
        <v>0</v>
      </c>
      <c r="AU99" s="175">
        <f t="shared" si="83"/>
        <v>0</v>
      </c>
      <c r="AV99" s="176">
        <f t="shared" si="84"/>
        <v>0</v>
      </c>
      <c r="AW99" s="176" t="str">
        <f t="shared" si="85"/>
        <v>-</v>
      </c>
      <c r="AX99" s="177"/>
      <c r="AY99" s="178" t="str">
        <f t="shared" si="65"/>
        <v>км 0+000 - км 0+000</v>
      </c>
      <c r="AZ99" s="179" t="str">
        <f t="shared" si="66"/>
        <v>-</v>
      </c>
      <c r="BA99" s="180">
        <f t="shared" si="67"/>
        <v>0.5</v>
      </c>
      <c r="BB99" s="177"/>
      <c r="BC99" s="177"/>
      <c r="BD99" s="175" t="str">
        <f t="shared" si="68"/>
        <v>км 0+000 - км 0+000</v>
      </c>
      <c r="BE99" s="181">
        <f t="shared" si="69"/>
        <v>0.5</v>
      </c>
      <c r="BF99" s="182" t="e">
        <f t="shared" ca="1" si="86"/>
        <v>#N/A</v>
      </c>
    </row>
    <row r="100" spans="1:58" ht="16.5" x14ac:dyDescent="0.25">
      <c r="A100" s="110">
        <f t="shared" si="71"/>
        <v>0</v>
      </c>
      <c r="B100" s="110"/>
      <c r="C100" s="111">
        <f t="shared" si="70"/>
        <v>0</v>
      </c>
      <c r="D100" s="112"/>
      <c r="E100" s="113"/>
      <c r="F100" s="113"/>
      <c r="G100" s="113"/>
      <c r="H100" s="113"/>
      <c r="I100" s="113"/>
      <c r="J100" s="113"/>
      <c r="K100" s="113"/>
      <c r="L100" s="113"/>
      <c r="M100" s="114"/>
      <c r="N100" s="147" t="str">
        <f>IFERROR(VLOOKUP($F100,Лист1!$A$4:$F$72,2,FALSE),"")</f>
        <v/>
      </c>
      <c r="O100" s="147" t="str">
        <f>IFERROR(VLOOKUP($G100,Лист1!$A$4:$F$72,2,FALSE),"")</f>
        <v/>
      </c>
      <c r="P100" s="115" t="str">
        <f>IFERROR(VLOOKUP($H100,Лист1!$A$4:$F$72,2,FALSE),"")</f>
        <v/>
      </c>
      <c r="Q100" s="115" t="str">
        <f>IFERROR(VLOOKUP($I100,Лист1!$A$4:$F$72,2,FALSE),"")</f>
        <v/>
      </c>
      <c r="R100" s="115" t="str">
        <f>IFERROR(VLOOKUP($J100,Лист1!$A$4:$F$72,2,FALSE),"")</f>
        <v/>
      </c>
      <c r="S100" s="115" t="str">
        <f>IFERROR(VLOOKUP($K100,Лист1!$A$4:$F$72,2,FALSE),"")</f>
        <v/>
      </c>
      <c r="T100" s="115" t="str">
        <f>IFERROR(VLOOKUP($L100,Лист1!$A$4:$F$72,2,FALSE),"")</f>
        <v/>
      </c>
      <c r="U100" s="115" t="str">
        <f t="shared" si="60"/>
        <v/>
      </c>
      <c r="V100" s="148" t="str">
        <f>IFERROR(VLOOKUP($F100,Лист1!$A$4:$F$72,3,FALSE),"")</f>
        <v/>
      </c>
      <c r="W100" s="116" t="str">
        <f>IFERROR(VLOOKUP($G100,Лист1!$A$4:$F$72,3,FALSE),"")</f>
        <v/>
      </c>
      <c r="X100" s="116" t="str">
        <f>IFERROR(VLOOKUP($H100,Лист1!$A$4:$F$72,3,FALSE),"")</f>
        <v/>
      </c>
      <c r="Y100" s="116" t="str">
        <f>IFERROR(VLOOKUP($I100,Лист1!$A$4:$F$72,3,FALSE),"")</f>
        <v/>
      </c>
      <c r="Z100" s="116" t="str">
        <f>IFERROR(VLOOKUP($J100,Лист1!$A$4:$F$72,3,FALSE),"")</f>
        <v/>
      </c>
      <c r="AA100" s="116" t="str">
        <f>IFERROR(VLOOKUP($K100,Лист1!$A$4:$F$72,3,FALSE),"")</f>
        <v/>
      </c>
      <c r="AB100" s="116" t="str">
        <f>IFERROR(VLOOKUP($L100,Лист1!$A$4:$F$72,3,FALSE),"")</f>
        <v/>
      </c>
      <c r="AC100" s="116" t="str">
        <f>IFERROR(VLOOKUP($M100,Лист1!$A$4:$F$72,3,FALSE),"")</f>
        <v/>
      </c>
      <c r="AD100" s="152">
        <f t="shared" si="72"/>
        <v>0</v>
      </c>
      <c r="AE100" s="118">
        <f t="shared" si="73"/>
        <v>0</v>
      </c>
      <c r="AF100" s="119">
        <f t="shared" si="74"/>
        <v>0</v>
      </c>
      <c r="AG100" s="119">
        <f t="shared" si="75"/>
        <v>0</v>
      </c>
      <c r="AH100" s="119">
        <f t="shared" si="76"/>
        <v>0</v>
      </c>
      <c r="AI100" s="121">
        <f t="shared" si="77"/>
        <v>0</v>
      </c>
      <c r="AJ100" s="121" t="str">
        <f t="shared" si="61"/>
        <v>000</v>
      </c>
      <c r="AK100" s="121" t="str">
        <f t="shared" si="62"/>
        <v>000</v>
      </c>
      <c r="AL100" s="122"/>
      <c r="AM100" s="123" t="str">
        <f t="shared" si="78"/>
        <v>км 0+000 - км 0+000</v>
      </c>
      <c r="AN100" s="124" t="str">
        <f t="shared" si="63"/>
        <v/>
      </c>
      <c r="AO100" s="153" t="e">
        <f t="shared" si="64"/>
        <v>#VALUE!</v>
      </c>
      <c r="AP100" s="125">
        <f t="shared" si="79"/>
        <v>0</v>
      </c>
      <c r="AQ100" s="120">
        <f t="shared" si="80"/>
        <v>0</v>
      </c>
      <c r="AR100" s="126"/>
      <c r="AS100" s="127">
        <f t="shared" si="81"/>
        <v>0</v>
      </c>
      <c r="AT100" s="127">
        <f t="shared" si="82"/>
        <v>0</v>
      </c>
      <c r="AU100" s="128">
        <f t="shared" si="83"/>
        <v>0</v>
      </c>
      <c r="AV100" s="129">
        <f t="shared" si="84"/>
        <v>0</v>
      </c>
      <c r="AW100" s="129" t="str">
        <f t="shared" si="85"/>
        <v>-</v>
      </c>
      <c r="AX100" s="130"/>
      <c r="AY100" s="127" t="str">
        <f t="shared" si="65"/>
        <v>км 0+000 - км 0+000</v>
      </c>
      <c r="AZ100" s="129" t="str">
        <f t="shared" si="66"/>
        <v>-</v>
      </c>
      <c r="BA100" s="131">
        <f t="shared" si="67"/>
        <v>0.5</v>
      </c>
      <c r="BB100" s="130"/>
      <c r="BC100" s="130"/>
      <c r="BD100" s="128" t="str">
        <f t="shared" si="68"/>
        <v>км 0+000 - км 0+000</v>
      </c>
      <c r="BE100" s="131">
        <f t="shared" si="69"/>
        <v>0.5</v>
      </c>
      <c r="BF100" s="154" t="e">
        <f t="shared" ca="1" si="86"/>
        <v>#N/A</v>
      </c>
    </row>
    <row r="101" spans="1:58" ht="16.5" x14ac:dyDescent="0.25">
      <c r="A101" s="110">
        <f t="shared" si="71"/>
        <v>0</v>
      </c>
      <c r="B101" s="110"/>
      <c r="C101" s="111">
        <f t="shared" si="70"/>
        <v>0</v>
      </c>
      <c r="D101" s="155"/>
      <c r="E101" s="156"/>
      <c r="F101" s="156"/>
      <c r="G101" s="157"/>
      <c r="H101" s="157"/>
      <c r="I101" s="157"/>
      <c r="J101" s="157"/>
      <c r="K101" s="157"/>
      <c r="L101" s="157"/>
      <c r="M101" s="158"/>
      <c r="N101" s="159" t="str">
        <f>IFERROR(VLOOKUP($F101,Лист1!$A$4:$F$72,2,FALSE),"")</f>
        <v/>
      </c>
      <c r="O101" s="159" t="str">
        <f>IFERROR(VLOOKUP($G101,Лист1!$A$4:$F$72,2,FALSE),"")</f>
        <v/>
      </c>
      <c r="P101" s="160" t="str">
        <f>IFERROR(VLOOKUP($H101,Лист1!$A$4:$F$72,2,FALSE),"")</f>
        <v/>
      </c>
      <c r="Q101" s="160" t="str">
        <f>IFERROR(VLOOKUP($I101,Лист1!$A$4:$F$72,2,FALSE),"")</f>
        <v/>
      </c>
      <c r="R101" s="160" t="str">
        <f>IFERROR(VLOOKUP($J101,Лист1!$A$4:$F$72,2,FALSE),"")</f>
        <v/>
      </c>
      <c r="S101" s="160" t="str">
        <f>IFERROR(VLOOKUP($K101,Лист1!$A$4:$F$72,2,FALSE),"")</f>
        <v/>
      </c>
      <c r="T101" s="160" t="str">
        <f>IFERROR(VLOOKUP($L101,Лист1!$A$4:$F$72,2,FALSE),"")</f>
        <v/>
      </c>
      <c r="U101" s="160" t="str">
        <f t="shared" si="60"/>
        <v/>
      </c>
      <c r="V101" s="161" t="str">
        <f>IFERROR(VLOOKUP($F101,Лист1!$A$4:$F$72,3,FALSE),"")</f>
        <v/>
      </c>
      <c r="W101" s="162" t="str">
        <f>IFERROR(VLOOKUP($G101,Лист1!$A$4:$F$72,3,FALSE),"")</f>
        <v/>
      </c>
      <c r="X101" s="162" t="str">
        <f>IFERROR(VLOOKUP($H101,Лист1!$A$4:$F$72,3,FALSE),"")</f>
        <v/>
      </c>
      <c r="Y101" s="162" t="str">
        <f>IFERROR(VLOOKUP($I101,Лист1!$A$4:$F$72,3,FALSE),"")</f>
        <v/>
      </c>
      <c r="Z101" s="162" t="str">
        <f>IFERROR(VLOOKUP($J101,Лист1!$A$4:$F$72,3,FALSE),"")</f>
        <v/>
      </c>
      <c r="AA101" s="162" t="str">
        <f>IFERROR(VLOOKUP($K101,Лист1!$A$4:$F$72,3,FALSE),"")</f>
        <v/>
      </c>
      <c r="AB101" s="162" t="str">
        <f>IFERROR(VLOOKUP($L101,Лист1!$A$4:$F$72,3,FALSE),"")</f>
        <v/>
      </c>
      <c r="AC101" s="162" t="str">
        <f>IFERROR(VLOOKUP($M101,Лист1!$A$4:$F$72,3,FALSE),"")</f>
        <v/>
      </c>
      <c r="AD101" s="163">
        <f t="shared" si="72"/>
        <v>0</v>
      </c>
      <c r="AE101" s="164">
        <f t="shared" si="73"/>
        <v>0</v>
      </c>
      <c r="AF101" s="165">
        <f t="shared" si="74"/>
        <v>0</v>
      </c>
      <c r="AG101" s="165">
        <f t="shared" si="75"/>
        <v>0</v>
      </c>
      <c r="AH101" s="165">
        <f t="shared" si="76"/>
        <v>0</v>
      </c>
      <c r="AI101" s="166">
        <f t="shared" si="77"/>
        <v>0</v>
      </c>
      <c r="AJ101" s="166" t="str">
        <f t="shared" si="61"/>
        <v>000</v>
      </c>
      <c r="AK101" s="166" t="str">
        <f t="shared" si="62"/>
        <v>000</v>
      </c>
      <c r="AL101" s="167"/>
      <c r="AM101" s="168" t="str">
        <f t="shared" si="78"/>
        <v>км 0+000 - км 0+000</v>
      </c>
      <c r="AN101" s="169" t="str">
        <f t="shared" si="63"/>
        <v/>
      </c>
      <c r="AO101" s="170" t="e">
        <f t="shared" si="64"/>
        <v>#VALUE!</v>
      </c>
      <c r="AP101" s="171">
        <f t="shared" si="79"/>
        <v>0</v>
      </c>
      <c r="AQ101" s="172">
        <f t="shared" si="80"/>
        <v>0</v>
      </c>
      <c r="AR101" s="173"/>
      <c r="AS101" s="174">
        <f t="shared" si="81"/>
        <v>0</v>
      </c>
      <c r="AT101" s="174">
        <f t="shared" si="82"/>
        <v>0</v>
      </c>
      <c r="AU101" s="175">
        <f t="shared" si="83"/>
        <v>0</v>
      </c>
      <c r="AV101" s="176">
        <f t="shared" si="84"/>
        <v>0</v>
      </c>
      <c r="AW101" s="176" t="str">
        <f t="shared" si="85"/>
        <v>-</v>
      </c>
      <c r="AX101" s="177"/>
      <c r="AY101" s="178" t="str">
        <f t="shared" si="65"/>
        <v>км 0+000 - км 0+000</v>
      </c>
      <c r="AZ101" s="179" t="str">
        <f t="shared" si="66"/>
        <v>-</v>
      </c>
      <c r="BA101" s="180">
        <f t="shared" si="67"/>
        <v>0.5</v>
      </c>
      <c r="BB101" s="177"/>
      <c r="BC101" s="177"/>
      <c r="BD101" s="175" t="str">
        <f t="shared" si="68"/>
        <v>км 0+000 - км 0+000</v>
      </c>
      <c r="BE101" s="181">
        <f t="shared" si="69"/>
        <v>0.5</v>
      </c>
      <c r="BF101" s="182" t="e">
        <f t="shared" ca="1" si="86"/>
        <v>#N/A</v>
      </c>
    </row>
    <row r="102" spans="1:58" ht="16.5" x14ac:dyDescent="0.25">
      <c r="A102" s="110">
        <f t="shared" si="71"/>
        <v>0</v>
      </c>
      <c r="B102" s="110"/>
      <c r="C102" s="111">
        <f t="shared" si="70"/>
        <v>0</v>
      </c>
      <c r="D102" s="112"/>
      <c r="E102" s="113"/>
      <c r="F102" s="113"/>
      <c r="G102" s="113"/>
      <c r="H102" s="113"/>
      <c r="I102" s="113"/>
      <c r="J102" s="113"/>
      <c r="K102" s="113"/>
      <c r="L102" s="113"/>
      <c r="M102" s="114"/>
      <c r="N102" s="147" t="str">
        <f>IFERROR(VLOOKUP($F102,Лист1!$A$4:$F$72,2,FALSE),"")</f>
        <v/>
      </c>
      <c r="O102" s="147" t="str">
        <f>IFERROR(VLOOKUP($G102,Лист1!$A$4:$F$72,2,FALSE),"")</f>
        <v/>
      </c>
      <c r="P102" s="115" t="str">
        <f>IFERROR(VLOOKUP($H102,Лист1!$A$4:$F$72,2,FALSE),"")</f>
        <v/>
      </c>
      <c r="Q102" s="115" t="str">
        <f>IFERROR(VLOOKUP($I102,Лист1!$A$4:$F$72,2,FALSE),"")</f>
        <v/>
      </c>
      <c r="R102" s="115" t="str">
        <f>IFERROR(VLOOKUP($J102,Лист1!$A$4:$F$72,2,FALSE),"")</f>
        <v/>
      </c>
      <c r="S102" s="115" t="str">
        <f>IFERROR(VLOOKUP($K102,Лист1!$A$4:$F$72,2,FALSE),"")</f>
        <v/>
      </c>
      <c r="T102" s="115" t="str">
        <f>IFERROR(VLOOKUP($L102,Лист1!$A$4:$F$72,2,FALSE),"")</f>
        <v/>
      </c>
      <c r="U102" s="115" t="str">
        <f t="shared" si="60"/>
        <v/>
      </c>
      <c r="V102" s="148" t="str">
        <f>IFERROR(VLOOKUP($F102,Лист1!$A$4:$F$72,3,FALSE),"")</f>
        <v/>
      </c>
      <c r="W102" s="116" t="str">
        <f>IFERROR(VLOOKUP($G102,Лист1!$A$4:$F$72,3,FALSE),"")</f>
        <v/>
      </c>
      <c r="X102" s="116" t="str">
        <f>IFERROR(VLOOKUP($H102,Лист1!$A$4:$F$72,3,FALSE),"")</f>
        <v/>
      </c>
      <c r="Y102" s="116" t="str">
        <f>IFERROR(VLOOKUP($I102,Лист1!$A$4:$F$72,3,FALSE),"")</f>
        <v/>
      </c>
      <c r="Z102" s="116" t="str">
        <f>IFERROR(VLOOKUP($J102,Лист1!$A$4:$F$72,3,FALSE),"")</f>
        <v/>
      </c>
      <c r="AA102" s="116" t="str">
        <f>IFERROR(VLOOKUP($K102,Лист1!$A$4:$F$72,3,FALSE),"")</f>
        <v/>
      </c>
      <c r="AB102" s="116" t="str">
        <f>IFERROR(VLOOKUP($L102,Лист1!$A$4:$F$72,3,FALSE),"")</f>
        <v/>
      </c>
      <c r="AC102" s="116" t="str">
        <f>IFERROR(VLOOKUP($M102,Лист1!$A$4:$F$72,3,FALSE),"")</f>
        <v/>
      </c>
      <c r="AD102" s="152">
        <f t="shared" si="72"/>
        <v>0</v>
      </c>
      <c r="AE102" s="118">
        <f t="shared" si="73"/>
        <v>0</v>
      </c>
      <c r="AF102" s="119">
        <f t="shared" si="74"/>
        <v>0</v>
      </c>
      <c r="AG102" s="119">
        <f t="shared" si="75"/>
        <v>0</v>
      </c>
      <c r="AH102" s="119">
        <f t="shared" si="76"/>
        <v>0</v>
      </c>
      <c r="AI102" s="121">
        <f t="shared" si="77"/>
        <v>0</v>
      </c>
      <c r="AJ102" s="121" t="str">
        <f t="shared" si="61"/>
        <v>000</v>
      </c>
      <c r="AK102" s="121" t="str">
        <f t="shared" si="62"/>
        <v>000</v>
      </c>
      <c r="AL102" s="122"/>
      <c r="AM102" s="123" t="str">
        <f t="shared" si="78"/>
        <v>км 0+000 - км 0+000</v>
      </c>
      <c r="AN102" s="124" t="str">
        <f t="shared" si="63"/>
        <v/>
      </c>
      <c r="AO102" s="153" t="e">
        <f t="shared" si="64"/>
        <v>#VALUE!</v>
      </c>
      <c r="AP102" s="125">
        <f t="shared" si="79"/>
        <v>0</v>
      </c>
      <c r="AQ102" s="120">
        <f t="shared" si="80"/>
        <v>0</v>
      </c>
      <c r="AR102" s="126"/>
      <c r="AS102" s="127">
        <f t="shared" si="81"/>
        <v>0</v>
      </c>
      <c r="AT102" s="127">
        <f t="shared" si="82"/>
        <v>0</v>
      </c>
      <c r="AU102" s="128">
        <f t="shared" si="83"/>
        <v>0</v>
      </c>
      <c r="AV102" s="129">
        <f t="shared" si="84"/>
        <v>0</v>
      </c>
      <c r="AW102" s="129" t="str">
        <f t="shared" si="85"/>
        <v>-</v>
      </c>
      <c r="AX102" s="130"/>
      <c r="AY102" s="127" t="str">
        <f t="shared" si="65"/>
        <v>км 0+000 - км 0+000</v>
      </c>
      <c r="AZ102" s="129" t="str">
        <f t="shared" si="66"/>
        <v>-</v>
      </c>
      <c r="BA102" s="131">
        <f t="shared" si="67"/>
        <v>0.5</v>
      </c>
      <c r="BB102" s="130"/>
      <c r="BC102" s="130"/>
      <c r="BD102" s="128" t="str">
        <f t="shared" si="68"/>
        <v>км 0+000 - км 0+000</v>
      </c>
      <c r="BE102" s="131">
        <f t="shared" si="69"/>
        <v>0.5</v>
      </c>
      <c r="BF102" s="154" t="e">
        <f t="shared" ca="1" si="86"/>
        <v>#N/A</v>
      </c>
    </row>
    <row r="103" spans="1:58" ht="16.5" x14ac:dyDescent="0.25">
      <c r="A103" s="110">
        <f t="shared" si="71"/>
        <v>0</v>
      </c>
      <c r="B103" s="110"/>
      <c r="C103" s="111">
        <f t="shared" si="70"/>
        <v>0</v>
      </c>
      <c r="D103" s="155"/>
      <c r="E103" s="156"/>
      <c r="F103" s="156"/>
      <c r="G103" s="157"/>
      <c r="H103" s="157"/>
      <c r="I103" s="157"/>
      <c r="J103" s="157"/>
      <c r="K103" s="157"/>
      <c r="L103" s="157"/>
      <c r="M103" s="158"/>
      <c r="N103" s="159" t="str">
        <f>IFERROR(VLOOKUP($F103,Лист1!$A$4:$F$72,2,FALSE),"")</f>
        <v/>
      </c>
      <c r="O103" s="159" t="str">
        <f>IFERROR(VLOOKUP($G103,Лист1!$A$4:$F$72,2,FALSE),"")</f>
        <v/>
      </c>
      <c r="P103" s="160" t="str">
        <f>IFERROR(VLOOKUP($H103,Лист1!$A$4:$F$72,2,FALSE),"")</f>
        <v/>
      </c>
      <c r="Q103" s="160" t="str">
        <f>IFERROR(VLOOKUP($I103,Лист1!$A$4:$F$72,2,FALSE),"")</f>
        <v/>
      </c>
      <c r="R103" s="160" t="str">
        <f>IFERROR(VLOOKUP($J103,Лист1!$A$4:$F$72,2,FALSE),"")</f>
        <v/>
      </c>
      <c r="S103" s="160" t="str">
        <f>IFERROR(VLOOKUP($K103,Лист1!$A$4:$F$72,2,FALSE),"")</f>
        <v/>
      </c>
      <c r="T103" s="160" t="str">
        <f>IFERROR(VLOOKUP($L103,Лист1!$A$4:$F$72,2,FALSE),"")</f>
        <v/>
      </c>
      <c r="U103" s="160" t="str">
        <f t="shared" si="60"/>
        <v/>
      </c>
      <c r="V103" s="161" t="str">
        <f>IFERROR(VLOOKUP($F103,Лист1!$A$4:$F$72,3,FALSE),"")</f>
        <v/>
      </c>
      <c r="W103" s="162" t="str">
        <f>IFERROR(VLOOKUP($G103,Лист1!$A$4:$F$72,3,FALSE),"")</f>
        <v/>
      </c>
      <c r="X103" s="162" t="str">
        <f>IFERROR(VLOOKUP($H103,Лист1!$A$4:$F$72,3,FALSE),"")</f>
        <v/>
      </c>
      <c r="Y103" s="162" t="str">
        <f>IFERROR(VLOOKUP($I103,Лист1!$A$4:$F$72,3,FALSE),"")</f>
        <v/>
      </c>
      <c r="Z103" s="162" t="str">
        <f>IFERROR(VLOOKUP($J103,Лист1!$A$4:$F$72,3,FALSE),"")</f>
        <v/>
      </c>
      <c r="AA103" s="162" t="str">
        <f>IFERROR(VLOOKUP($K103,Лист1!$A$4:$F$72,3,FALSE),"")</f>
        <v/>
      </c>
      <c r="AB103" s="162" t="str">
        <f>IFERROR(VLOOKUP($L103,Лист1!$A$4:$F$72,3,FALSE),"")</f>
        <v/>
      </c>
      <c r="AC103" s="162" t="str">
        <f>IFERROR(VLOOKUP($M103,Лист1!$A$4:$F$72,3,FALSE),"")</f>
        <v/>
      </c>
      <c r="AD103" s="163">
        <f t="shared" si="72"/>
        <v>0</v>
      </c>
      <c r="AE103" s="164">
        <f t="shared" si="73"/>
        <v>0</v>
      </c>
      <c r="AF103" s="165">
        <f t="shared" si="74"/>
        <v>0</v>
      </c>
      <c r="AG103" s="165">
        <f t="shared" si="75"/>
        <v>0</v>
      </c>
      <c r="AH103" s="165">
        <f t="shared" si="76"/>
        <v>0</v>
      </c>
      <c r="AI103" s="166">
        <f t="shared" si="77"/>
        <v>0</v>
      </c>
      <c r="AJ103" s="166" t="str">
        <f t="shared" si="61"/>
        <v>000</v>
      </c>
      <c r="AK103" s="166" t="str">
        <f t="shared" si="62"/>
        <v>000</v>
      </c>
      <c r="AL103" s="167"/>
      <c r="AM103" s="168" t="str">
        <f t="shared" si="78"/>
        <v>км 0+000 - км 0+000</v>
      </c>
      <c r="AN103" s="169" t="str">
        <f t="shared" si="63"/>
        <v/>
      </c>
      <c r="AO103" s="170" t="e">
        <f t="shared" si="64"/>
        <v>#VALUE!</v>
      </c>
      <c r="AP103" s="171">
        <f t="shared" si="79"/>
        <v>0</v>
      </c>
      <c r="AQ103" s="172">
        <f t="shared" si="80"/>
        <v>0</v>
      </c>
      <c r="AR103" s="173"/>
      <c r="AS103" s="174">
        <f t="shared" si="81"/>
        <v>0</v>
      </c>
      <c r="AT103" s="174">
        <f t="shared" si="82"/>
        <v>0</v>
      </c>
      <c r="AU103" s="175">
        <f t="shared" si="83"/>
        <v>0</v>
      </c>
      <c r="AV103" s="176">
        <f t="shared" si="84"/>
        <v>0</v>
      </c>
      <c r="AW103" s="176" t="str">
        <f t="shared" si="85"/>
        <v>-</v>
      </c>
      <c r="AX103" s="177"/>
      <c r="AY103" s="178" t="str">
        <f t="shared" si="65"/>
        <v>км 0+000 - км 0+000</v>
      </c>
      <c r="AZ103" s="179" t="str">
        <f t="shared" si="66"/>
        <v>-</v>
      </c>
      <c r="BA103" s="180">
        <f t="shared" si="67"/>
        <v>0.5</v>
      </c>
      <c r="BB103" s="177"/>
      <c r="BC103" s="177"/>
      <c r="BD103" s="175" t="str">
        <f t="shared" si="68"/>
        <v>км 0+000 - км 0+000</v>
      </c>
      <c r="BE103" s="181">
        <f t="shared" si="69"/>
        <v>0.5</v>
      </c>
      <c r="BF103" s="182" t="e">
        <f t="shared" ca="1" si="86"/>
        <v>#N/A</v>
      </c>
    </row>
    <row r="104" spans="1:58" ht="16.5" x14ac:dyDescent="0.25">
      <c r="A104" s="110">
        <f t="shared" si="71"/>
        <v>0</v>
      </c>
      <c r="B104" s="110"/>
      <c r="C104" s="111">
        <f t="shared" si="70"/>
        <v>0</v>
      </c>
      <c r="D104" s="112"/>
      <c r="E104" s="113"/>
      <c r="F104" s="113"/>
      <c r="G104" s="113"/>
      <c r="H104" s="113"/>
      <c r="I104" s="113"/>
      <c r="J104" s="113"/>
      <c r="K104" s="113"/>
      <c r="L104" s="113"/>
      <c r="M104" s="114"/>
      <c r="N104" s="147" t="str">
        <f>IFERROR(VLOOKUP($F104,Лист1!$A$4:$F$72,2,FALSE),"")</f>
        <v/>
      </c>
      <c r="O104" s="147" t="str">
        <f>IFERROR(VLOOKUP($G104,Лист1!$A$4:$F$72,2,FALSE),"")</f>
        <v/>
      </c>
      <c r="P104" s="115" t="str">
        <f>IFERROR(VLOOKUP($H104,Лист1!$A$4:$F$72,2,FALSE),"")</f>
        <v/>
      </c>
      <c r="Q104" s="115" t="str">
        <f>IFERROR(VLOOKUP($I104,Лист1!$A$4:$F$72,2,FALSE),"")</f>
        <v/>
      </c>
      <c r="R104" s="115" t="str">
        <f>IFERROR(VLOOKUP($J104,Лист1!$A$4:$F$72,2,FALSE),"")</f>
        <v/>
      </c>
      <c r="S104" s="115" t="str">
        <f>IFERROR(VLOOKUP($K104,Лист1!$A$4:$F$72,2,FALSE),"")</f>
        <v/>
      </c>
      <c r="T104" s="115" t="str">
        <f>IFERROR(VLOOKUP($L104,Лист1!$A$4:$F$72,2,FALSE),"")</f>
        <v/>
      </c>
      <c r="U104" s="115" t="str">
        <f t="shared" si="60"/>
        <v/>
      </c>
      <c r="V104" s="148" t="str">
        <f>IFERROR(VLOOKUP($F104,Лист1!$A$4:$F$72,3,FALSE),"")</f>
        <v/>
      </c>
      <c r="W104" s="116" t="str">
        <f>IFERROR(VLOOKUP($G104,Лист1!$A$4:$F$72,3,FALSE),"")</f>
        <v/>
      </c>
      <c r="X104" s="116" t="str">
        <f>IFERROR(VLOOKUP($H104,Лист1!$A$4:$F$72,3,FALSE),"")</f>
        <v/>
      </c>
      <c r="Y104" s="116" t="str">
        <f>IFERROR(VLOOKUP($I104,Лист1!$A$4:$F$72,3,FALSE),"")</f>
        <v/>
      </c>
      <c r="Z104" s="116" t="str">
        <f>IFERROR(VLOOKUP($J104,Лист1!$A$4:$F$72,3,FALSE),"")</f>
        <v/>
      </c>
      <c r="AA104" s="116" t="str">
        <f>IFERROR(VLOOKUP($K104,Лист1!$A$4:$F$72,3,FALSE),"")</f>
        <v/>
      </c>
      <c r="AB104" s="116" t="str">
        <f>IFERROR(VLOOKUP($L104,Лист1!$A$4:$F$72,3,FALSE),"")</f>
        <v/>
      </c>
      <c r="AC104" s="116" t="str">
        <f>IFERROR(VLOOKUP($M104,Лист1!$A$4:$F$72,3,FALSE),"")</f>
        <v/>
      </c>
      <c r="AD104" s="152">
        <f t="shared" si="72"/>
        <v>0</v>
      </c>
      <c r="AE104" s="118">
        <f t="shared" si="73"/>
        <v>0</v>
      </c>
      <c r="AF104" s="119">
        <f t="shared" si="74"/>
        <v>0</v>
      </c>
      <c r="AG104" s="119">
        <f t="shared" si="75"/>
        <v>0</v>
      </c>
      <c r="AH104" s="119">
        <f t="shared" si="76"/>
        <v>0</v>
      </c>
      <c r="AI104" s="121">
        <f t="shared" si="77"/>
        <v>0</v>
      </c>
      <c r="AJ104" s="121" t="str">
        <f t="shared" si="61"/>
        <v>000</v>
      </c>
      <c r="AK104" s="121" t="str">
        <f t="shared" si="62"/>
        <v>000</v>
      </c>
      <c r="AL104" s="122"/>
      <c r="AM104" s="123" t="str">
        <f t="shared" si="78"/>
        <v>км 0+000 - км 0+000</v>
      </c>
      <c r="AN104" s="124" t="str">
        <f t="shared" si="63"/>
        <v/>
      </c>
      <c r="AO104" s="153" t="e">
        <f t="shared" si="64"/>
        <v>#VALUE!</v>
      </c>
      <c r="AP104" s="125">
        <f t="shared" si="79"/>
        <v>0</v>
      </c>
      <c r="AQ104" s="120">
        <f t="shared" si="80"/>
        <v>0</v>
      </c>
      <c r="AR104" s="126"/>
      <c r="AS104" s="127">
        <f t="shared" si="81"/>
        <v>0</v>
      </c>
      <c r="AT104" s="127">
        <f t="shared" si="82"/>
        <v>0</v>
      </c>
      <c r="AU104" s="128">
        <f t="shared" si="83"/>
        <v>0</v>
      </c>
      <c r="AV104" s="129">
        <f t="shared" si="84"/>
        <v>0</v>
      </c>
      <c r="AW104" s="129" t="str">
        <f t="shared" si="85"/>
        <v>-</v>
      </c>
      <c r="AX104" s="130"/>
      <c r="AY104" s="127" t="str">
        <f t="shared" si="65"/>
        <v>км 0+000 - км 0+000</v>
      </c>
      <c r="AZ104" s="129" t="str">
        <f t="shared" si="66"/>
        <v>-</v>
      </c>
      <c r="BA104" s="131">
        <f t="shared" si="67"/>
        <v>0.5</v>
      </c>
      <c r="BB104" s="130"/>
      <c r="BC104" s="130"/>
      <c r="BD104" s="128" t="str">
        <f t="shared" si="68"/>
        <v>км 0+000 - км 0+000</v>
      </c>
      <c r="BE104" s="131">
        <f t="shared" si="69"/>
        <v>0.5</v>
      </c>
      <c r="BF104" s="154" t="e">
        <f t="shared" ca="1" si="86"/>
        <v>#N/A</v>
      </c>
    </row>
    <row r="105" spans="1:58" ht="16.5" x14ac:dyDescent="0.25">
      <c r="A105" s="110">
        <f t="shared" si="71"/>
        <v>0</v>
      </c>
      <c r="B105" s="110"/>
      <c r="C105" s="111">
        <f t="shared" si="70"/>
        <v>0</v>
      </c>
      <c r="D105" s="155"/>
      <c r="E105" s="156"/>
      <c r="F105" s="156"/>
      <c r="G105" s="157"/>
      <c r="H105" s="157"/>
      <c r="I105" s="157"/>
      <c r="J105" s="157"/>
      <c r="K105" s="157"/>
      <c r="L105" s="157"/>
      <c r="M105" s="158"/>
      <c r="N105" s="159" t="str">
        <f>IFERROR(VLOOKUP($F105,Лист1!$A$4:$F$72,2,FALSE),"")</f>
        <v/>
      </c>
      <c r="O105" s="159" t="str">
        <f>IFERROR(VLOOKUP($G105,Лист1!$A$4:$F$72,2,FALSE),"")</f>
        <v/>
      </c>
      <c r="P105" s="160" t="str">
        <f>IFERROR(VLOOKUP($H105,Лист1!$A$4:$F$72,2,FALSE),"")</f>
        <v/>
      </c>
      <c r="Q105" s="160" t="str">
        <f>IFERROR(VLOOKUP($I105,Лист1!$A$4:$F$72,2,FALSE),"")</f>
        <v/>
      </c>
      <c r="R105" s="160" t="str">
        <f>IFERROR(VLOOKUP($J105,Лист1!$A$4:$F$72,2,FALSE),"")</f>
        <v/>
      </c>
      <c r="S105" s="160" t="str">
        <f>IFERROR(VLOOKUP($K105,Лист1!$A$4:$F$72,2,FALSE),"")</f>
        <v/>
      </c>
      <c r="T105" s="160" t="str">
        <f>IFERROR(VLOOKUP($L105,Лист1!$A$4:$F$72,2,FALSE),"")</f>
        <v/>
      </c>
      <c r="U105" s="160" t="str">
        <f t="shared" si="60"/>
        <v/>
      </c>
      <c r="V105" s="161" t="str">
        <f>IFERROR(VLOOKUP($F105,Лист1!$A$4:$F$72,3,FALSE),"")</f>
        <v/>
      </c>
      <c r="W105" s="162" t="str">
        <f>IFERROR(VLOOKUP($G105,Лист1!$A$4:$F$72,3,FALSE),"")</f>
        <v/>
      </c>
      <c r="X105" s="162" t="str">
        <f>IFERROR(VLOOKUP($H105,Лист1!$A$4:$F$72,3,FALSE),"")</f>
        <v/>
      </c>
      <c r="Y105" s="162" t="str">
        <f>IFERROR(VLOOKUP($I105,Лист1!$A$4:$F$72,3,FALSE),"")</f>
        <v/>
      </c>
      <c r="Z105" s="162" t="str">
        <f>IFERROR(VLOOKUP($J105,Лист1!$A$4:$F$72,3,FALSE),"")</f>
        <v/>
      </c>
      <c r="AA105" s="162" t="str">
        <f>IFERROR(VLOOKUP($K105,Лист1!$A$4:$F$72,3,FALSE),"")</f>
        <v/>
      </c>
      <c r="AB105" s="162" t="str">
        <f>IFERROR(VLOOKUP($L105,Лист1!$A$4:$F$72,3,FALSE),"")</f>
        <v/>
      </c>
      <c r="AC105" s="162" t="str">
        <f>IFERROR(VLOOKUP($M105,Лист1!$A$4:$F$72,3,FALSE),"")</f>
        <v/>
      </c>
      <c r="AD105" s="163">
        <f t="shared" si="72"/>
        <v>0</v>
      </c>
      <c r="AE105" s="164">
        <f t="shared" si="73"/>
        <v>0</v>
      </c>
      <c r="AF105" s="165">
        <f t="shared" si="74"/>
        <v>0</v>
      </c>
      <c r="AG105" s="165">
        <f t="shared" si="75"/>
        <v>0</v>
      </c>
      <c r="AH105" s="165">
        <f t="shared" si="76"/>
        <v>0</v>
      </c>
      <c r="AI105" s="166">
        <f t="shared" si="77"/>
        <v>0</v>
      </c>
      <c r="AJ105" s="166" t="str">
        <f t="shared" si="61"/>
        <v>000</v>
      </c>
      <c r="AK105" s="166" t="str">
        <f t="shared" si="62"/>
        <v>000</v>
      </c>
      <c r="AL105" s="167"/>
      <c r="AM105" s="168" t="str">
        <f t="shared" si="78"/>
        <v>км 0+000 - км 0+000</v>
      </c>
      <c r="AN105" s="169" t="str">
        <f t="shared" si="63"/>
        <v/>
      </c>
      <c r="AO105" s="170" t="e">
        <f t="shared" si="64"/>
        <v>#VALUE!</v>
      </c>
      <c r="AP105" s="171">
        <f t="shared" si="79"/>
        <v>0</v>
      </c>
      <c r="AQ105" s="172">
        <f t="shared" si="80"/>
        <v>0</v>
      </c>
      <c r="AR105" s="173"/>
      <c r="AS105" s="174">
        <f t="shared" si="81"/>
        <v>0</v>
      </c>
      <c r="AT105" s="174">
        <f t="shared" si="82"/>
        <v>0</v>
      </c>
      <c r="AU105" s="175">
        <f t="shared" si="83"/>
        <v>0</v>
      </c>
      <c r="AV105" s="176">
        <f t="shared" si="84"/>
        <v>0</v>
      </c>
      <c r="AW105" s="176" t="str">
        <f t="shared" si="85"/>
        <v>-</v>
      </c>
      <c r="AX105" s="177"/>
      <c r="AY105" s="178" t="str">
        <f t="shared" si="65"/>
        <v>км 0+000 - км 0+000</v>
      </c>
      <c r="AZ105" s="179" t="str">
        <f t="shared" si="66"/>
        <v>-</v>
      </c>
      <c r="BA105" s="180">
        <f t="shared" si="67"/>
        <v>0.5</v>
      </c>
      <c r="BB105" s="177"/>
      <c r="BC105" s="177"/>
      <c r="BD105" s="175" t="str">
        <f t="shared" si="68"/>
        <v>км 0+000 - км 0+000</v>
      </c>
      <c r="BE105" s="181">
        <f t="shared" si="69"/>
        <v>0.5</v>
      </c>
      <c r="BF105" s="182" t="e">
        <f t="shared" ca="1" si="86"/>
        <v>#N/A</v>
      </c>
    </row>
    <row r="106" spans="1:58" ht="16.5" x14ac:dyDescent="0.25">
      <c r="A106" s="110">
        <f t="shared" si="71"/>
        <v>0</v>
      </c>
      <c r="B106" s="110"/>
      <c r="C106" s="111">
        <f t="shared" si="70"/>
        <v>0</v>
      </c>
      <c r="D106" s="112"/>
      <c r="E106" s="113"/>
      <c r="F106" s="113"/>
      <c r="G106" s="113"/>
      <c r="H106" s="113"/>
      <c r="I106" s="113"/>
      <c r="J106" s="113"/>
      <c r="K106" s="113"/>
      <c r="L106" s="113"/>
      <c r="M106" s="114"/>
      <c r="N106" s="147" t="str">
        <f>IFERROR(VLOOKUP($F106,Лист1!$A$4:$F$72,2,FALSE),"")</f>
        <v/>
      </c>
      <c r="O106" s="147" t="str">
        <f>IFERROR(VLOOKUP($G106,Лист1!$A$4:$F$72,2,FALSE),"")</f>
        <v/>
      </c>
      <c r="P106" s="115" t="str">
        <f>IFERROR(VLOOKUP($H106,Лист1!$A$4:$F$72,2,FALSE),"")</f>
        <v/>
      </c>
      <c r="Q106" s="115" t="str">
        <f>IFERROR(VLOOKUP($I106,Лист1!$A$4:$F$72,2,FALSE),"")</f>
        <v/>
      </c>
      <c r="R106" s="115" t="str">
        <f>IFERROR(VLOOKUP($J106,Лист1!$A$4:$F$72,2,FALSE),"")</f>
        <v/>
      </c>
      <c r="S106" s="115" t="str">
        <f>IFERROR(VLOOKUP($K106,Лист1!$A$4:$F$72,2,FALSE),"")</f>
        <v/>
      </c>
      <c r="T106" s="115" t="str">
        <f>IFERROR(VLOOKUP($L106,Лист1!$A$4:$F$72,2,FALSE),"")</f>
        <v/>
      </c>
      <c r="U106" s="115" t="str">
        <f t="shared" si="60"/>
        <v/>
      </c>
      <c r="V106" s="148" t="str">
        <f>IFERROR(VLOOKUP($F106,Лист1!$A$4:$F$72,3,FALSE),"")</f>
        <v/>
      </c>
      <c r="W106" s="116" t="str">
        <f>IFERROR(VLOOKUP($G106,Лист1!$A$4:$F$72,3,FALSE),"")</f>
        <v/>
      </c>
      <c r="X106" s="116" t="str">
        <f>IFERROR(VLOOKUP($H106,Лист1!$A$4:$F$72,3,FALSE),"")</f>
        <v/>
      </c>
      <c r="Y106" s="116" t="str">
        <f>IFERROR(VLOOKUP($I106,Лист1!$A$4:$F$72,3,FALSE),"")</f>
        <v/>
      </c>
      <c r="Z106" s="116" t="str">
        <f>IFERROR(VLOOKUP($J106,Лист1!$A$4:$F$72,3,FALSE),"")</f>
        <v/>
      </c>
      <c r="AA106" s="116" t="str">
        <f>IFERROR(VLOOKUP($K106,Лист1!$A$4:$F$72,3,FALSE),"")</f>
        <v/>
      </c>
      <c r="AB106" s="116" t="str">
        <f>IFERROR(VLOOKUP($L106,Лист1!$A$4:$F$72,3,FALSE),"")</f>
        <v/>
      </c>
      <c r="AC106" s="116" t="str">
        <f>IFERROR(VLOOKUP($M106,Лист1!$A$4:$F$72,3,FALSE),"")</f>
        <v/>
      </c>
      <c r="AD106" s="152">
        <f t="shared" si="72"/>
        <v>0</v>
      </c>
      <c r="AE106" s="118">
        <f t="shared" si="73"/>
        <v>0</v>
      </c>
      <c r="AF106" s="119">
        <f t="shared" si="74"/>
        <v>0</v>
      </c>
      <c r="AG106" s="119">
        <f t="shared" si="75"/>
        <v>0</v>
      </c>
      <c r="AH106" s="119">
        <f t="shared" si="76"/>
        <v>0</v>
      </c>
      <c r="AI106" s="121">
        <f t="shared" si="77"/>
        <v>0</v>
      </c>
      <c r="AJ106" s="121" t="str">
        <f t="shared" si="61"/>
        <v>000</v>
      </c>
      <c r="AK106" s="121" t="str">
        <f t="shared" si="62"/>
        <v>000</v>
      </c>
      <c r="AL106" s="122"/>
      <c r="AM106" s="123" t="str">
        <f t="shared" si="78"/>
        <v>км 0+000 - км 0+000</v>
      </c>
      <c r="AN106" s="124" t="str">
        <f t="shared" si="63"/>
        <v/>
      </c>
      <c r="AO106" s="153" t="e">
        <f t="shared" si="64"/>
        <v>#VALUE!</v>
      </c>
      <c r="AP106" s="125">
        <f t="shared" si="79"/>
        <v>0</v>
      </c>
      <c r="AQ106" s="120">
        <f t="shared" si="80"/>
        <v>0</v>
      </c>
      <c r="AR106" s="126"/>
      <c r="AS106" s="127">
        <f t="shared" si="81"/>
        <v>0</v>
      </c>
      <c r="AT106" s="127">
        <f t="shared" si="82"/>
        <v>0</v>
      </c>
      <c r="AU106" s="128">
        <f t="shared" si="83"/>
        <v>0</v>
      </c>
      <c r="AV106" s="129">
        <f t="shared" si="84"/>
        <v>0</v>
      </c>
      <c r="AW106" s="129" t="str">
        <f t="shared" si="85"/>
        <v>-</v>
      </c>
      <c r="AX106" s="130"/>
      <c r="AY106" s="127" t="str">
        <f t="shared" si="65"/>
        <v>км 0+000 - км 0+000</v>
      </c>
      <c r="AZ106" s="129" t="str">
        <f t="shared" si="66"/>
        <v>-</v>
      </c>
      <c r="BA106" s="131">
        <f t="shared" si="67"/>
        <v>0.5</v>
      </c>
      <c r="BB106" s="130"/>
      <c r="BC106" s="130"/>
      <c r="BD106" s="128" t="str">
        <f t="shared" si="68"/>
        <v>км 0+000 - км 0+000</v>
      </c>
      <c r="BE106" s="131">
        <f t="shared" si="69"/>
        <v>0.5</v>
      </c>
      <c r="BF106" s="154" t="e">
        <f t="shared" ca="1" si="86"/>
        <v>#N/A</v>
      </c>
    </row>
    <row r="107" spans="1:58" ht="16.5" x14ac:dyDescent="0.25">
      <c r="A107" s="110">
        <f t="shared" si="71"/>
        <v>0</v>
      </c>
      <c r="B107" s="110"/>
      <c r="C107" s="111">
        <f t="shared" si="70"/>
        <v>0</v>
      </c>
      <c r="D107" s="155"/>
      <c r="E107" s="156"/>
      <c r="F107" s="156"/>
      <c r="G107" s="157"/>
      <c r="H107" s="157"/>
      <c r="I107" s="157"/>
      <c r="J107" s="157"/>
      <c r="K107" s="157"/>
      <c r="L107" s="157"/>
      <c r="M107" s="158"/>
      <c r="N107" s="159" t="str">
        <f>IFERROR(VLOOKUP($F107,Лист1!$A$4:$F$72,2,FALSE),"")</f>
        <v/>
      </c>
      <c r="O107" s="159" t="str">
        <f>IFERROR(VLOOKUP($G107,Лист1!$A$4:$F$72,2,FALSE),"")</f>
        <v/>
      </c>
      <c r="P107" s="160" t="str">
        <f>IFERROR(VLOOKUP($H107,Лист1!$A$4:$F$72,2,FALSE),"")</f>
        <v/>
      </c>
      <c r="Q107" s="160" t="str">
        <f>IFERROR(VLOOKUP($I107,Лист1!$A$4:$F$72,2,FALSE),"")</f>
        <v/>
      </c>
      <c r="R107" s="160" t="str">
        <f>IFERROR(VLOOKUP($J107,Лист1!$A$4:$F$72,2,FALSE),"")</f>
        <v/>
      </c>
      <c r="S107" s="160" t="str">
        <f>IFERROR(VLOOKUP($K107,Лист1!$A$4:$F$72,2,FALSE),"")</f>
        <v/>
      </c>
      <c r="T107" s="160" t="str">
        <f>IFERROR(VLOOKUP($L107,Лист1!$A$4:$F$72,2,FALSE),"")</f>
        <v/>
      </c>
      <c r="U107" s="160" t="str">
        <f t="shared" si="60"/>
        <v/>
      </c>
      <c r="V107" s="161" t="str">
        <f>IFERROR(VLOOKUP($F107,Лист1!$A$4:$F$72,3,FALSE),"")</f>
        <v/>
      </c>
      <c r="W107" s="162" t="str">
        <f>IFERROR(VLOOKUP($G107,Лист1!$A$4:$F$72,3,FALSE),"")</f>
        <v/>
      </c>
      <c r="X107" s="162" t="str">
        <f>IFERROR(VLOOKUP($H107,Лист1!$A$4:$F$72,3,FALSE),"")</f>
        <v/>
      </c>
      <c r="Y107" s="162" t="str">
        <f>IFERROR(VLOOKUP($I107,Лист1!$A$4:$F$72,3,FALSE),"")</f>
        <v/>
      </c>
      <c r="Z107" s="162" t="str">
        <f>IFERROR(VLOOKUP($J107,Лист1!$A$4:$F$72,3,FALSE),"")</f>
        <v/>
      </c>
      <c r="AA107" s="162" t="str">
        <f>IFERROR(VLOOKUP($K107,Лист1!$A$4:$F$72,3,FALSE),"")</f>
        <v/>
      </c>
      <c r="AB107" s="162" t="str">
        <f>IFERROR(VLOOKUP($L107,Лист1!$A$4:$F$72,3,FALSE),"")</f>
        <v/>
      </c>
      <c r="AC107" s="162" t="str">
        <f>IFERROR(VLOOKUP($M107,Лист1!$A$4:$F$72,3,FALSE),"")</f>
        <v/>
      </c>
      <c r="AD107" s="163">
        <f t="shared" si="72"/>
        <v>0</v>
      </c>
      <c r="AE107" s="164">
        <f t="shared" si="73"/>
        <v>0</v>
      </c>
      <c r="AF107" s="165">
        <f t="shared" si="74"/>
        <v>0</v>
      </c>
      <c r="AG107" s="165">
        <f t="shared" si="75"/>
        <v>0</v>
      </c>
      <c r="AH107" s="165">
        <f t="shared" si="76"/>
        <v>0</v>
      </c>
      <c r="AI107" s="166">
        <f t="shared" si="77"/>
        <v>0</v>
      </c>
      <c r="AJ107" s="166" t="str">
        <f t="shared" si="61"/>
        <v>000</v>
      </c>
      <c r="AK107" s="166" t="str">
        <f t="shared" si="62"/>
        <v>000</v>
      </c>
      <c r="AL107" s="167"/>
      <c r="AM107" s="168" t="str">
        <f t="shared" si="78"/>
        <v>км 0+000 - км 0+000</v>
      </c>
      <c r="AN107" s="169" t="str">
        <f t="shared" si="63"/>
        <v/>
      </c>
      <c r="AO107" s="170" t="e">
        <f t="shared" si="64"/>
        <v>#VALUE!</v>
      </c>
      <c r="AP107" s="171">
        <f t="shared" si="79"/>
        <v>0</v>
      </c>
      <c r="AQ107" s="172">
        <f t="shared" si="80"/>
        <v>0</v>
      </c>
      <c r="AR107" s="173"/>
      <c r="AS107" s="174">
        <f t="shared" si="81"/>
        <v>0</v>
      </c>
      <c r="AT107" s="174">
        <f t="shared" si="82"/>
        <v>0</v>
      </c>
      <c r="AU107" s="175">
        <f t="shared" si="83"/>
        <v>0</v>
      </c>
      <c r="AV107" s="176">
        <f t="shared" si="84"/>
        <v>0</v>
      </c>
      <c r="AW107" s="176" t="str">
        <f t="shared" si="85"/>
        <v>-</v>
      </c>
      <c r="AX107" s="177"/>
      <c r="AY107" s="178" t="str">
        <f t="shared" si="65"/>
        <v>км 0+000 - км 0+000</v>
      </c>
      <c r="AZ107" s="179" t="str">
        <f t="shared" si="66"/>
        <v>-</v>
      </c>
      <c r="BA107" s="180">
        <f t="shared" si="67"/>
        <v>0.5</v>
      </c>
      <c r="BB107" s="177"/>
      <c r="BC107" s="177"/>
      <c r="BD107" s="175" t="str">
        <f t="shared" si="68"/>
        <v>км 0+000 - км 0+000</v>
      </c>
      <c r="BE107" s="181">
        <f t="shared" si="69"/>
        <v>0.5</v>
      </c>
      <c r="BF107" s="182" t="e">
        <f t="shared" ca="1" si="86"/>
        <v>#N/A</v>
      </c>
    </row>
    <row r="108" spans="1:58" ht="16.5" x14ac:dyDescent="0.25">
      <c r="A108" s="110">
        <f t="shared" si="71"/>
        <v>0</v>
      </c>
      <c r="B108" s="110"/>
      <c r="C108" s="111">
        <f t="shared" si="70"/>
        <v>0</v>
      </c>
      <c r="D108" s="112"/>
      <c r="E108" s="113"/>
      <c r="F108" s="113"/>
      <c r="G108" s="113"/>
      <c r="H108" s="113"/>
      <c r="I108" s="113"/>
      <c r="J108" s="113"/>
      <c r="K108" s="113"/>
      <c r="L108" s="113"/>
      <c r="M108" s="114"/>
      <c r="N108" s="147" t="str">
        <f>IFERROR(VLOOKUP($F108,Лист1!$A$4:$F$72,2,FALSE),"")</f>
        <v/>
      </c>
      <c r="O108" s="147" t="str">
        <f>IFERROR(VLOOKUP($G108,Лист1!$A$4:$F$72,2,FALSE),"")</f>
        <v/>
      </c>
      <c r="P108" s="115" t="str">
        <f>IFERROR(VLOOKUP($H108,Лист1!$A$4:$F$72,2,FALSE),"")</f>
        <v/>
      </c>
      <c r="Q108" s="115" t="str">
        <f>IFERROR(VLOOKUP($I108,Лист1!$A$4:$F$72,2,FALSE),"")</f>
        <v/>
      </c>
      <c r="R108" s="115" t="str">
        <f>IFERROR(VLOOKUP($J108,Лист1!$A$4:$F$72,2,FALSE),"")</f>
        <v/>
      </c>
      <c r="S108" s="115" t="str">
        <f>IFERROR(VLOOKUP($K108,Лист1!$A$4:$F$72,2,FALSE),"")</f>
        <v/>
      </c>
      <c r="T108" s="115" t="str">
        <f>IFERROR(VLOOKUP($L108,Лист1!$A$4:$F$72,2,FALSE),"")</f>
        <v/>
      </c>
      <c r="U108" s="115" t="str">
        <f t="shared" ref="U108:U131" si="87">IF(ISBLANK($M108),"",$M108)</f>
        <v/>
      </c>
      <c r="V108" s="148" t="str">
        <f>IFERROR(VLOOKUP($F108,Лист1!$A$4:$F$72,3,FALSE),"")</f>
        <v/>
      </c>
      <c r="W108" s="116" t="str">
        <f>IFERROR(VLOOKUP($G108,Лист1!$A$4:$F$72,3,FALSE),"")</f>
        <v/>
      </c>
      <c r="X108" s="116" t="str">
        <f>IFERROR(VLOOKUP($H108,Лист1!$A$4:$F$72,3,FALSE),"")</f>
        <v/>
      </c>
      <c r="Y108" s="116" t="str">
        <f>IFERROR(VLOOKUP($I108,Лист1!$A$4:$F$72,3,FALSE),"")</f>
        <v/>
      </c>
      <c r="Z108" s="116" t="str">
        <f>IFERROR(VLOOKUP($J108,Лист1!$A$4:$F$72,3,FALSE),"")</f>
        <v/>
      </c>
      <c r="AA108" s="116" t="str">
        <f>IFERROR(VLOOKUP($K108,Лист1!$A$4:$F$72,3,FALSE),"")</f>
        <v/>
      </c>
      <c r="AB108" s="116" t="str">
        <f>IFERROR(VLOOKUP($L108,Лист1!$A$4:$F$72,3,FALSE),"")</f>
        <v/>
      </c>
      <c r="AC108" s="116" t="str">
        <f>IFERROR(VLOOKUP($M108,Лист1!$A$4:$F$72,3,FALSE),"")</f>
        <v/>
      </c>
      <c r="AD108" s="152">
        <f t="shared" si="72"/>
        <v>0</v>
      </c>
      <c r="AE108" s="118">
        <f t="shared" si="73"/>
        <v>0</v>
      </c>
      <c r="AF108" s="119">
        <f t="shared" si="74"/>
        <v>0</v>
      </c>
      <c r="AG108" s="119">
        <f t="shared" si="75"/>
        <v>0</v>
      </c>
      <c r="AH108" s="119">
        <f t="shared" si="76"/>
        <v>0</v>
      </c>
      <c r="AI108" s="121">
        <f t="shared" si="77"/>
        <v>0</v>
      </c>
      <c r="AJ108" s="121" t="str">
        <f t="shared" ref="AJ108:AJ131" si="88">IF($AG108=0,"000",$AG108)</f>
        <v>000</v>
      </c>
      <c r="AK108" s="121" t="str">
        <f t="shared" ref="AK108:AK131" si="89">IF($AI108=0,"000",$AI108)</f>
        <v>000</v>
      </c>
      <c r="AL108" s="122"/>
      <c r="AM108" s="123" t="str">
        <f t="shared" si="78"/>
        <v>км 0+000 - км 0+000</v>
      </c>
      <c r="AN108" s="124" t="str">
        <f t="shared" ref="AN108:AN131" si="90">IF(ISBLANK($M108),N108&amp;O108&amp;P108&amp;Q108&amp;R108&amp;S108&amp;T108&amp;U108,N108&amp;O108&amp;P108&amp;Q108&amp;R108&amp;S108&amp;T108&amp;U108&amp;";")</f>
        <v/>
      </c>
      <c r="AO108" s="153" t="e">
        <f t="shared" ref="AO108:AO131" si="91">UPPER(LEFT($AN108,1))&amp;RIGHT(LOWER($AN108),LEN($AN108)-1)</f>
        <v>#VALUE!</v>
      </c>
      <c r="AP108" s="125">
        <f t="shared" si="79"/>
        <v>0</v>
      </c>
      <c r="AQ108" s="120">
        <f t="shared" si="80"/>
        <v>0</v>
      </c>
      <c r="AR108" s="126"/>
      <c r="AS108" s="127">
        <f t="shared" si="81"/>
        <v>0</v>
      </c>
      <c r="AT108" s="127">
        <f t="shared" si="82"/>
        <v>0</v>
      </c>
      <c r="AU108" s="128">
        <f t="shared" si="83"/>
        <v>0</v>
      </c>
      <c r="AV108" s="129">
        <f t="shared" si="84"/>
        <v>0</v>
      </c>
      <c r="AW108" s="129" t="str">
        <f t="shared" si="85"/>
        <v>-</v>
      </c>
      <c r="AX108" s="130"/>
      <c r="AY108" s="127" t="str">
        <f t="shared" ref="AY108:AY131" si="92">$AM108</f>
        <v>км 0+000 - км 0+000</v>
      </c>
      <c r="AZ108" s="129" t="str">
        <f t="shared" ref="AZ108:AZ131" si="93">$AW108</f>
        <v>-</v>
      </c>
      <c r="BA108" s="131">
        <f t="shared" ref="BA108:BA131" si="94">$BE108</f>
        <v>0.5</v>
      </c>
      <c r="BB108" s="130"/>
      <c r="BC108" s="130"/>
      <c r="BD108" s="128" t="str">
        <f t="shared" ref="BD108:BD131" si="95">$AM108</f>
        <v>км 0+000 - км 0+000</v>
      </c>
      <c r="BE108" s="131">
        <f t="shared" ref="BE108:BE131" si="96">ROUND(1-((5-$AP108)/10),2)</f>
        <v>0.5</v>
      </c>
      <c r="BF108" s="154" t="e">
        <f t="shared" ca="1" si="86"/>
        <v>#N/A</v>
      </c>
    </row>
    <row r="109" spans="1:58" ht="16.5" x14ac:dyDescent="0.25">
      <c r="A109" s="110">
        <f t="shared" si="71"/>
        <v>0</v>
      </c>
      <c r="B109" s="110"/>
      <c r="C109" s="111">
        <f t="shared" si="70"/>
        <v>0</v>
      </c>
      <c r="D109" s="155"/>
      <c r="E109" s="156"/>
      <c r="F109" s="156"/>
      <c r="G109" s="157"/>
      <c r="H109" s="157"/>
      <c r="I109" s="157"/>
      <c r="J109" s="157"/>
      <c r="K109" s="157"/>
      <c r="L109" s="157"/>
      <c r="M109" s="158"/>
      <c r="N109" s="159" t="str">
        <f>IFERROR(VLOOKUP($F109,Лист1!$A$4:$F$72,2,FALSE),"")</f>
        <v/>
      </c>
      <c r="O109" s="159" t="str">
        <f>IFERROR(VLOOKUP($G109,Лист1!$A$4:$F$72,2,FALSE),"")</f>
        <v/>
      </c>
      <c r="P109" s="160" t="str">
        <f>IFERROR(VLOOKUP($H109,Лист1!$A$4:$F$72,2,FALSE),"")</f>
        <v/>
      </c>
      <c r="Q109" s="160" t="str">
        <f>IFERROR(VLOOKUP($I109,Лист1!$A$4:$F$72,2,FALSE),"")</f>
        <v/>
      </c>
      <c r="R109" s="160" t="str">
        <f>IFERROR(VLOOKUP($J109,Лист1!$A$4:$F$72,2,FALSE),"")</f>
        <v/>
      </c>
      <c r="S109" s="160" t="str">
        <f>IFERROR(VLOOKUP($K109,Лист1!$A$4:$F$72,2,FALSE),"")</f>
        <v/>
      </c>
      <c r="T109" s="160" t="str">
        <f>IFERROR(VLOOKUP($L109,Лист1!$A$4:$F$72,2,FALSE),"")</f>
        <v/>
      </c>
      <c r="U109" s="160" t="str">
        <f t="shared" si="87"/>
        <v/>
      </c>
      <c r="V109" s="161" t="str">
        <f>IFERROR(VLOOKUP($F109,Лист1!$A$4:$F$72,3,FALSE),"")</f>
        <v/>
      </c>
      <c r="W109" s="162" t="str">
        <f>IFERROR(VLOOKUP($G109,Лист1!$A$4:$F$72,3,FALSE),"")</f>
        <v/>
      </c>
      <c r="X109" s="162" t="str">
        <f>IFERROR(VLOOKUP($H109,Лист1!$A$4:$F$72,3,FALSE),"")</f>
        <v/>
      </c>
      <c r="Y109" s="162" t="str">
        <f>IFERROR(VLOOKUP($I109,Лист1!$A$4:$F$72,3,FALSE),"")</f>
        <v/>
      </c>
      <c r="Z109" s="162" t="str">
        <f>IFERROR(VLOOKUP($J109,Лист1!$A$4:$F$72,3,FALSE),"")</f>
        <v/>
      </c>
      <c r="AA109" s="162" t="str">
        <f>IFERROR(VLOOKUP($K109,Лист1!$A$4:$F$72,3,FALSE),"")</f>
        <v/>
      </c>
      <c r="AB109" s="162" t="str">
        <f>IFERROR(VLOOKUP($L109,Лист1!$A$4:$F$72,3,FALSE),"")</f>
        <v/>
      </c>
      <c r="AC109" s="162" t="str">
        <f>IFERROR(VLOOKUP($M109,Лист1!$A$4:$F$72,3,FALSE),"")</f>
        <v/>
      </c>
      <c r="AD109" s="163">
        <f t="shared" si="72"/>
        <v>0</v>
      </c>
      <c r="AE109" s="164">
        <f t="shared" si="73"/>
        <v>0</v>
      </c>
      <c r="AF109" s="165">
        <f t="shared" si="74"/>
        <v>0</v>
      </c>
      <c r="AG109" s="165">
        <f t="shared" si="75"/>
        <v>0</v>
      </c>
      <c r="AH109" s="165">
        <f t="shared" si="76"/>
        <v>0</v>
      </c>
      <c r="AI109" s="166">
        <f t="shared" si="77"/>
        <v>0</v>
      </c>
      <c r="AJ109" s="166" t="str">
        <f t="shared" si="88"/>
        <v>000</v>
      </c>
      <c r="AK109" s="166" t="str">
        <f t="shared" si="89"/>
        <v>000</v>
      </c>
      <c r="AL109" s="167"/>
      <c r="AM109" s="168" t="str">
        <f t="shared" si="78"/>
        <v>км 0+000 - км 0+000</v>
      </c>
      <c r="AN109" s="169" t="str">
        <f t="shared" si="90"/>
        <v/>
      </c>
      <c r="AO109" s="170" t="e">
        <f t="shared" si="91"/>
        <v>#VALUE!</v>
      </c>
      <c r="AP109" s="171">
        <f t="shared" si="79"/>
        <v>0</v>
      </c>
      <c r="AQ109" s="172">
        <f t="shared" si="80"/>
        <v>0</v>
      </c>
      <c r="AR109" s="173"/>
      <c r="AS109" s="174">
        <f t="shared" si="81"/>
        <v>0</v>
      </c>
      <c r="AT109" s="174">
        <f t="shared" si="82"/>
        <v>0</v>
      </c>
      <c r="AU109" s="175">
        <f t="shared" si="83"/>
        <v>0</v>
      </c>
      <c r="AV109" s="176">
        <f t="shared" si="84"/>
        <v>0</v>
      </c>
      <c r="AW109" s="176" t="str">
        <f t="shared" si="85"/>
        <v>-</v>
      </c>
      <c r="AX109" s="177"/>
      <c r="AY109" s="178" t="str">
        <f t="shared" si="92"/>
        <v>км 0+000 - км 0+000</v>
      </c>
      <c r="AZ109" s="179" t="str">
        <f t="shared" si="93"/>
        <v>-</v>
      </c>
      <c r="BA109" s="180">
        <f t="shared" si="94"/>
        <v>0.5</v>
      </c>
      <c r="BB109" s="177"/>
      <c r="BC109" s="177"/>
      <c r="BD109" s="175" t="str">
        <f t="shared" si="95"/>
        <v>км 0+000 - км 0+000</v>
      </c>
      <c r="BE109" s="181">
        <f t="shared" si="96"/>
        <v>0.5</v>
      </c>
      <c r="BF109" s="182" t="e">
        <f t="shared" ca="1" si="86"/>
        <v>#N/A</v>
      </c>
    </row>
    <row r="110" spans="1:58" ht="16.5" x14ac:dyDescent="0.25">
      <c r="A110" s="110">
        <f t="shared" si="71"/>
        <v>0</v>
      </c>
      <c r="B110" s="110"/>
      <c r="C110" s="111">
        <f t="shared" si="70"/>
        <v>0</v>
      </c>
      <c r="D110" s="112"/>
      <c r="E110" s="113"/>
      <c r="F110" s="113"/>
      <c r="G110" s="113"/>
      <c r="H110" s="113"/>
      <c r="I110" s="113"/>
      <c r="J110" s="113"/>
      <c r="K110" s="113"/>
      <c r="L110" s="113"/>
      <c r="M110" s="114"/>
      <c r="N110" s="147" t="str">
        <f>IFERROR(VLOOKUP($F110,Лист1!$A$4:$F$72,2,FALSE),"")</f>
        <v/>
      </c>
      <c r="O110" s="147" t="str">
        <f>IFERROR(VLOOKUP($G110,Лист1!$A$4:$F$72,2,FALSE),"")</f>
        <v/>
      </c>
      <c r="P110" s="115" t="str">
        <f>IFERROR(VLOOKUP($H110,Лист1!$A$4:$F$72,2,FALSE),"")</f>
        <v/>
      </c>
      <c r="Q110" s="115" t="str">
        <f>IFERROR(VLOOKUP($I110,Лист1!$A$4:$F$72,2,FALSE),"")</f>
        <v/>
      </c>
      <c r="R110" s="115" t="str">
        <f>IFERROR(VLOOKUP($J110,Лист1!$A$4:$F$72,2,FALSE),"")</f>
        <v/>
      </c>
      <c r="S110" s="115" t="str">
        <f>IFERROR(VLOOKUP($K110,Лист1!$A$4:$F$72,2,FALSE),"")</f>
        <v/>
      </c>
      <c r="T110" s="115" t="str">
        <f>IFERROR(VLOOKUP($L110,Лист1!$A$4:$F$72,2,FALSE),"")</f>
        <v/>
      </c>
      <c r="U110" s="115" t="str">
        <f t="shared" si="87"/>
        <v/>
      </c>
      <c r="V110" s="148" t="str">
        <f>IFERROR(VLOOKUP($F110,Лист1!$A$4:$F$72,3,FALSE),"")</f>
        <v/>
      </c>
      <c r="W110" s="116" t="str">
        <f>IFERROR(VLOOKUP($G110,Лист1!$A$4:$F$72,3,FALSE),"")</f>
        <v/>
      </c>
      <c r="X110" s="116" t="str">
        <f>IFERROR(VLOOKUP($H110,Лист1!$A$4:$F$72,3,FALSE),"")</f>
        <v/>
      </c>
      <c r="Y110" s="116" t="str">
        <f>IFERROR(VLOOKUP($I110,Лист1!$A$4:$F$72,3,FALSE),"")</f>
        <v/>
      </c>
      <c r="Z110" s="116" t="str">
        <f>IFERROR(VLOOKUP($J110,Лист1!$A$4:$F$72,3,FALSE),"")</f>
        <v/>
      </c>
      <c r="AA110" s="116" t="str">
        <f>IFERROR(VLOOKUP($K110,Лист1!$A$4:$F$72,3,FALSE),"")</f>
        <v/>
      </c>
      <c r="AB110" s="116" t="str">
        <f>IFERROR(VLOOKUP($L110,Лист1!$A$4:$F$72,3,FALSE),"")</f>
        <v/>
      </c>
      <c r="AC110" s="116" t="str">
        <f>IFERROR(VLOOKUP($M110,Лист1!$A$4:$F$72,3,FALSE),"")</f>
        <v/>
      </c>
      <c r="AD110" s="152">
        <f t="shared" si="72"/>
        <v>0</v>
      </c>
      <c r="AE110" s="118">
        <f t="shared" si="73"/>
        <v>0</v>
      </c>
      <c r="AF110" s="119">
        <f t="shared" si="74"/>
        <v>0</v>
      </c>
      <c r="AG110" s="119">
        <f t="shared" si="75"/>
        <v>0</v>
      </c>
      <c r="AH110" s="119">
        <f t="shared" si="76"/>
        <v>0</v>
      </c>
      <c r="AI110" s="121">
        <f t="shared" si="77"/>
        <v>0</v>
      </c>
      <c r="AJ110" s="121" t="str">
        <f t="shared" si="88"/>
        <v>000</v>
      </c>
      <c r="AK110" s="121" t="str">
        <f t="shared" si="89"/>
        <v>000</v>
      </c>
      <c r="AL110" s="122"/>
      <c r="AM110" s="123" t="str">
        <f t="shared" si="78"/>
        <v>км 0+000 - км 0+000</v>
      </c>
      <c r="AN110" s="124" t="str">
        <f t="shared" si="90"/>
        <v/>
      </c>
      <c r="AO110" s="153" t="e">
        <f t="shared" si="91"/>
        <v>#VALUE!</v>
      </c>
      <c r="AP110" s="125">
        <f t="shared" si="79"/>
        <v>0</v>
      </c>
      <c r="AQ110" s="120">
        <f t="shared" si="80"/>
        <v>0</v>
      </c>
      <c r="AR110" s="126"/>
      <c r="AS110" s="127">
        <f t="shared" si="81"/>
        <v>0</v>
      </c>
      <c r="AT110" s="127">
        <f t="shared" si="82"/>
        <v>0</v>
      </c>
      <c r="AU110" s="128">
        <f t="shared" si="83"/>
        <v>0</v>
      </c>
      <c r="AV110" s="129">
        <f t="shared" si="84"/>
        <v>0</v>
      </c>
      <c r="AW110" s="129" t="str">
        <f t="shared" si="85"/>
        <v>-</v>
      </c>
      <c r="AX110" s="130"/>
      <c r="AY110" s="127" t="str">
        <f t="shared" si="92"/>
        <v>км 0+000 - км 0+000</v>
      </c>
      <c r="AZ110" s="129" t="str">
        <f t="shared" si="93"/>
        <v>-</v>
      </c>
      <c r="BA110" s="131">
        <f t="shared" si="94"/>
        <v>0.5</v>
      </c>
      <c r="BB110" s="130"/>
      <c r="BC110" s="130"/>
      <c r="BD110" s="128" t="str">
        <f t="shared" si="95"/>
        <v>км 0+000 - км 0+000</v>
      </c>
      <c r="BE110" s="131">
        <f t="shared" si="96"/>
        <v>0.5</v>
      </c>
      <c r="BF110" s="154" t="e">
        <f t="shared" ca="1" si="86"/>
        <v>#N/A</v>
      </c>
    </row>
    <row r="111" spans="1:58" ht="16.5" x14ac:dyDescent="0.25">
      <c r="A111" s="110">
        <f t="shared" si="71"/>
        <v>0</v>
      </c>
      <c r="B111" s="110"/>
      <c r="C111" s="111">
        <f t="shared" si="70"/>
        <v>0</v>
      </c>
      <c r="D111" s="155"/>
      <c r="E111" s="156"/>
      <c r="F111" s="156"/>
      <c r="G111" s="157"/>
      <c r="H111" s="157"/>
      <c r="I111" s="157"/>
      <c r="J111" s="157"/>
      <c r="K111" s="157"/>
      <c r="L111" s="157"/>
      <c r="M111" s="158"/>
      <c r="N111" s="159" t="str">
        <f>IFERROR(VLOOKUP($F111,Лист1!$A$4:$F$72,2,FALSE),"")</f>
        <v/>
      </c>
      <c r="O111" s="159" t="str">
        <f>IFERROR(VLOOKUP($G111,Лист1!$A$4:$F$72,2,FALSE),"")</f>
        <v/>
      </c>
      <c r="P111" s="160" t="str">
        <f>IFERROR(VLOOKUP($H111,Лист1!$A$4:$F$72,2,FALSE),"")</f>
        <v/>
      </c>
      <c r="Q111" s="160" t="str">
        <f>IFERROR(VLOOKUP($I111,Лист1!$A$4:$F$72,2,FALSE),"")</f>
        <v/>
      </c>
      <c r="R111" s="160" t="str">
        <f>IFERROR(VLOOKUP($J111,Лист1!$A$4:$F$72,2,FALSE),"")</f>
        <v/>
      </c>
      <c r="S111" s="160" t="str">
        <f>IFERROR(VLOOKUP($K111,Лист1!$A$4:$F$72,2,FALSE),"")</f>
        <v/>
      </c>
      <c r="T111" s="160" t="str">
        <f>IFERROR(VLOOKUP($L111,Лист1!$A$4:$F$72,2,FALSE),"")</f>
        <v/>
      </c>
      <c r="U111" s="160" t="str">
        <f t="shared" si="87"/>
        <v/>
      </c>
      <c r="V111" s="161" t="str">
        <f>IFERROR(VLOOKUP($F111,Лист1!$A$4:$F$72,3,FALSE),"")</f>
        <v/>
      </c>
      <c r="W111" s="162" t="str">
        <f>IFERROR(VLOOKUP($G111,Лист1!$A$4:$F$72,3,FALSE),"")</f>
        <v/>
      </c>
      <c r="X111" s="162" t="str">
        <f>IFERROR(VLOOKUP($H111,Лист1!$A$4:$F$72,3,FALSE),"")</f>
        <v/>
      </c>
      <c r="Y111" s="162" t="str">
        <f>IFERROR(VLOOKUP($I111,Лист1!$A$4:$F$72,3,FALSE),"")</f>
        <v/>
      </c>
      <c r="Z111" s="162" t="str">
        <f>IFERROR(VLOOKUP($J111,Лист1!$A$4:$F$72,3,FALSE),"")</f>
        <v/>
      </c>
      <c r="AA111" s="162" t="str">
        <f>IFERROR(VLOOKUP($K111,Лист1!$A$4:$F$72,3,FALSE),"")</f>
        <v/>
      </c>
      <c r="AB111" s="162" t="str">
        <f>IFERROR(VLOOKUP($L111,Лист1!$A$4:$F$72,3,FALSE),"")</f>
        <v/>
      </c>
      <c r="AC111" s="162" t="str">
        <f>IFERROR(VLOOKUP($M111,Лист1!$A$4:$F$72,3,FALSE),"")</f>
        <v/>
      </c>
      <c r="AD111" s="163">
        <f t="shared" si="72"/>
        <v>0</v>
      </c>
      <c r="AE111" s="164">
        <f t="shared" si="73"/>
        <v>0</v>
      </c>
      <c r="AF111" s="165">
        <f t="shared" si="74"/>
        <v>0</v>
      </c>
      <c r="AG111" s="165">
        <f t="shared" si="75"/>
        <v>0</v>
      </c>
      <c r="AH111" s="165">
        <f t="shared" si="76"/>
        <v>0</v>
      </c>
      <c r="AI111" s="166">
        <f t="shared" si="77"/>
        <v>0</v>
      </c>
      <c r="AJ111" s="166" t="str">
        <f t="shared" si="88"/>
        <v>000</v>
      </c>
      <c r="AK111" s="166" t="str">
        <f t="shared" si="89"/>
        <v>000</v>
      </c>
      <c r="AL111" s="167"/>
      <c r="AM111" s="168" t="str">
        <f t="shared" si="78"/>
        <v>км 0+000 - км 0+000</v>
      </c>
      <c r="AN111" s="169" t="str">
        <f t="shared" si="90"/>
        <v/>
      </c>
      <c r="AO111" s="170" t="e">
        <f t="shared" si="91"/>
        <v>#VALUE!</v>
      </c>
      <c r="AP111" s="171">
        <f t="shared" si="79"/>
        <v>0</v>
      </c>
      <c r="AQ111" s="172">
        <f t="shared" si="80"/>
        <v>0</v>
      </c>
      <c r="AR111" s="173"/>
      <c r="AS111" s="174">
        <f t="shared" si="81"/>
        <v>0</v>
      </c>
      <c r="AT111" s="174">
        <f t="shared" si="82"/>
        <v>0</v>
      </c>
      <c r="AU111" s="175">
        <f t="shared" si="83"/>
        <v>0</v>
      </c>
      <c r="AV111" s="176">
        <f t="shared" si="84"/>
        <v>0</v>
      </c>
      <c r="AW111" s="176" t="str">
        <f t="shared" si="85"/>
        <v>-</v>
      </c>
      <c r="AX111" s="177"/>
      <c r="AY111" s="178" t="str">
        <f t="shared" si="92"/>
        <v>км 0+000 - км 0+000</v>
      </c>
      <c r="AZ111" s="179" t="str">
        <f t="shared" si="93"/>
        <v>-</v>
      </c>
      <c r="BA111" s="180">
        <f t="shared" si="94"/>
        <v>0.5</v>
      </c>
      <c r="BB111" s="177"/>
      <c r="BC111" s="177"/>
      <c r="BD111" s="175" t="str">
        <f t="shared" si="95"/>
        <v>км 0+000 - км 0+000</v>
      </c>
      <c r="BE111" s="181">
        <f t="shared" si="96"/>
        <v>0.5</v>
      </c>
      <c r="BF111" s="182" t="e">
        <f t="shared" ca="1" si="86"/>
        <v>#N/A</v>
      </c>
    </row>
    <row r="112" spans="1:58" ht="16.5" x14ac:dyDescent="0.25">
      <c r="A112" s="110">
        <f t="shared" si="71"/>
        <v>0</v>
      </c>
      <c r="B112" s="110"/>
      <c r="C112" s="111">
        <f t="shared" si="70"/>
        <v>0</v>
      </c>
      <c r="D112" s="112"/>
      <c r="E112" s="113"/>
      <c r="F112" s="113"/>
      <c r="G112" s="113"/>
      <c r="H112" s="113"/>
      <c r="I112" s="113"/>
      <c r="J112" s="113"/>
      <c r="K112" s="113"/>
      <c r="L112" s="113"/>
      <c r="M112" s="114"/>
      <c r="N112" s="147" t="str">
        <f>IFERROR(VLOOKUP($F112,Лист1!$A$4:$F$72,2,FALSE),"")</f>
        <v/>
      </c>
      <c r="O112" s="147" t="str">
        <f>IFERROR(VLOOKUP($G112,Лист1!$A$4:$F$72,2,FALSE),"")</f>
        <v/>
      </c>
      <c r="P112" s="115" t="str">
        <f>IFERROR(VLOOKUP($H112,Лист1!$A$4:$F$72,2,FALSE),"")</f>
        <v/>
      </c>
      <c r="Q112" s="115" t="str">
        <f>IFERROR(VLOOKUP($I112,Лист1!$A$4:$F$72,2,FALSE),"")</f>
        <v/>
      </c>
      <c r="R112" s="115" t="str">
        <f>IFERROR(VLOOKUP($J112,Лист1!$A$4:$F$72,2,FALSE),"")</f>
        <v/>
      </c>
      <c r="S112" s="115" t="str">
        <f>IFERROR(VLOOKUP($K112,Лист1!$A$4:$F$72,2,FALSE),"")</f>
        <v/>
      </c>
      <c r="T112" s="115" t="str">
        <f>IFERROR(VLOOKUP($L112,Лист1!$A$4:$F$72,2,FALSE),"")</f>
        <v/>
      </c>
      <c r="U112" s="115" t="str">
        <f t="shared" si="87"/>
        <v/>
      </c>
      <c r="V112" s="148" t="str">
        <f>IFERROR(VLOOKUP($F112,Лист1!$A$4:$F$72,3,FALSE),"")</f>
        <v/>
      </c>
      <c r="W112" s="116" t="str">
        <f>IFERROR(VLOOKUP($G112,Лист1!$A$4:$F$72,3,FALSE),"")</f>
        <v/>
      </c>
      <c r="X112" s="116" t="str">
        <f>IFERROR(VLOOKUP($H112,Лист1!$A$4:$F$72,3,FALSE),"")</f>
        <v/>
      </c>
      <c r="Y112" s="116" t="str">
        <f>IFERROR(VLOOKUP($I112,Лист1!$A$4:$F$72,3,FALSE),"")</f>
        <v/>
      </c>
      <c r="Z112" s="116" t="str">
        <f>IFERROR(VLOOKUP($J112,Лист1!$A$4:$F$72,3,FALSE),"")</f>
        <v/>
      </c>
      <c r="AA112" s="116" t="str">
        <f>IFERROR(VLOOKUP($K112,Лист1!$A$4:$F$72,3,FALSE),"")</f>
        <v/>
      </c>
      <c r="AB112" s="116" t="str">
        <f>IFERROR(VLOOKUP($L112,Лист1!$A$4:$F$72,3,FALSE),"")</f>
        <v/>
      </c>
      <c r="AC112" s="116" t="str">
        <f>IFERROR(VLOOKUP($M112,Лист1!$A$4:$F$72,3,FALSE),"")</f>
        <v/>
      </c>
      <c r="AD112" s="152">
        <f t="shared" si="72"/>
        <v>0</v>
      </c>
      <c r="AE112" s="118">
        <f t="shared" si="73"/>
        <v>0</v>
      </c>
      <c r="AF112" s="119">
        <f t="shared" si="74"/>
        <v>0</v>
      </c>
      <c r="AG112" s="119">
        <f t="shared" si="75"/>
        <v>0</v>
      </c>
      <c r="AH112" s="119">
        <f t="shared" si="76"/>
        <v>0</v>
      </c>
      <c r="AI112" s="121">
        <f t="shared" si="77"/>
        <v>0</v>
      </c>
      <c r="AJ112" s="121" t="str">
        <f t="shared" si="88"/>
        <v>000</v>
      </c>
      <c r="AK112" s="121" t="str">
        <f t="shared" si="89"/>
        <v>000</v>
      </c>
      <c r="AL112" s="122"/>
      <c r="AM112" s="123" t="str">
        <f t="shared" si="78"/>
        <v>км 0+000 - км 0+000</v>
      </c>
      <c r="AN112" s="124" t="str">
        <f t="shared" si="90"/>
        <v/>
      </c>
      <c r="AO112" s="153" t="e">
        <f t="shared" si="91"/>
        <v>#VALUE!</v>
      </c>
      <c r="AP112" s="125">
        <f t="shared" si="79"/>
        <v>0</v>
      </c>
      <c r="AQ112" s="120">
        <f t="shared" si="80"/>
        <v>0</v>
      </c>
      <c r="AR112" s="126"/>
      <c r="AS112" s="127">
        <f t="shared" si="81"/>
        <v>0</v>
      </c>
      <c r="AT112" s="127">
        <f t="shared" si="82"/>
        <v>0</v>
      </c>
      <c r="AU112" s="128">
        <f t="shared" si="83"/>
        <v>0</v>
      </c>
      <c r="AV112" s="129">
        <f t="shared" si="84"/>
        <v>0</v>
      </c>
      <c r="AW112" s="129" t="str">
        <f t="shared" si="85"/>
        <v>-</v>
      </c>
      <c r="AX112" s="130"/>
      <c r="AY112" s="127" t="str">
        <f t="shared" si="92"/>
        <v>км 0+000 - км 0+000</v>
      </c>
      <c r="AZ112" s="129" t="str">
        <f t="shared" si="93"/>
        <v>-</v>
      </c>
      <c r="BA112" s="131">
        <f t="shared" si="94"/>
        <v>0.5</v>
      </c>
      <c r="BB112" s="130"/>
      <c r="BC112" s="130"/>
      <c r="BD112" s="128" t="str">
        <f t="shared" si="95"/>
        <v>км 0+000 - км 0+000</v>
      </c>
      <c r="BE112" s="131">
        <f t="shared" si="96"/>
        <v>0.5</v>
      </c>
      <c r="BF112" s="154" t="e">
        <f t="shared" ca="1" si="86"/>
        <v>#N/A</v>
      </c>
    </row>
    <row r="113" spans="1:58" ht="16.5" x14ac:dyDescent="0.25">
      <c r="A113" s="110">
        <f t="shared" si="71"/>
        <v>0</v>
      </c>
      <c r="B113" s="110"/>
      <c r="C113" s="111">
        <f t="shared" si="70"/>
        <v>0</v>
      </c>
      <c r="D113" s="155"/>
      <c r="E113" s="156"/>
      <c r="F113" s="156"/>
      <c r="G113" s="157"/>
      <c r="H113" s="157"/>
      <c r="I113" s="157"/>
      <c r="J113" s="157"/>
      <c r="K113" s="157"/>
      <c r="L113" s="157"/>
      <c r="M113" s="158"/>
      <c r="N113" s="159" t="str">
        <f>IFERROR(VLOOKUP($F113,Лист1!$A$4:$F$72,2,FALSE),"")</f>
        <v/>
      </c>
      <c r="O113" s="159" t="str">
        <f>IFERROR(VLOOKUP($G113,Лист1!$A$4:$F$72,2,FALSE),"")</f>
        <v/>
      </c>
      <c r="P113" s="160" t="str">
        <f>IFERROR(VLOOKUP($H113,Лист1!$A$4:$F$72,2,FALSE),"")</f>
        <v/>
      </c>
      <c r="Q113" s="160" t="str">
        <f>IFERROR(VLOOKUP($I113,Лист1!$A$4:$F$72,2,FALSE),"")</f>
        <v/>
      </c>
      <c r="R113" s="160" t="str">
        <f>IFERROR(VLOOKUP($J113,Лист1!$A$4:$F$72,2,FALSE),"")</f>
        <v/>
      </c>
      <c r="S113" s="160" t="str">
        <f>IFERROR(VLOOKUP($K113,Лист1!$A$4:$F$72,2,FALSE),"")</f>
        <v/>
      </c>
      <c r="T113" s="160" t="str">
        <f>IFERROR(VLOOKUP($L113,Лист1!$A$4:$F$72,2,FALSE),"")</f>
        <v/>
      </c>
      <c r="U113" s="160" t="str">
        <f t="shared" si="87"/>
        <v/>
      </c>
      <c r="V113" s="161" t="str">
        <f>IFERROR(VLOOKUP($F113,Лист1!$A$4:$F$72,3,FALSE),"")</f>
        <v/>
      </c>
      <c r="W113" s="162" t="str">
        <f>IFERROR(VLOOKUP($G113,Лист1!$A$4:$F$72,3,FALSE),"")</f>
        <v/>
      </c>
      <c r="X113" s="162" t="str">
        <f>IFERROR(VLOOKUP($H113,Лист1!$A$4:$F$72,3,FALSE),"")</f>
        <v/>
      </c>
      <c r="Y113" s="162" t="str">
        <f>IFERROR(VLOOKUP($I113,Лист1!$A$4:$F$72,3,FALSE),"")</f>
        <v/>
      </c>
      <c r="Z113" s="162" t="str">
        <f>IFERROR(VLOOKUP($J113,Лист1!$A$4:$F$72,3,FALSE),"")</f>
        <v/>
      </c>
      <c r="AA113" s="162" t="str">
        <f>IFERROR(VLOOKUP($K113,Лист1!$A$4:$F$72,3,FALSE),"")</f>
        <v/>
      </c>
      <c r="AB113" s="162" t="str">
        <f>IFERROR(VLOOKUP($L113,Лист1!$A$4:$F$72,3,FALSE),"")</f>
        <v/>
      </c>
      <c r="AC113" s="162" t="str">
        <f>IFERROR(VLOOKUP($M113,Лист1!$A$4:$F$72,3,FALSE),"")</f>
        <v/>
      </c>
      <c r="AD113" s="163">
        <f t="shared" si="72"/>
        <v>0</v>
      </c>
      <c r="AE113" s="164">
        <f t="shared" si="73"/>
        <v>0</v>
      </c>
      <c r="AF113" s="165">
        <f t="shared" si="74"/>
        <v>0</v>
      </c>
      <c r="AG113" s="165">
        <f t="shared" si="75"/>
        <v>0</v>
      </c>
      <c r="AH113" s="165">
        <f t="shared" si="76"/>
        <v>0</v>
      </c>
      <c r="AI113" s="166">
        <f t="shared" si="77"/>
        <v>0</v>
      </c>
      <c r="AJ113" s="166" t="str">
        <f t="shared" si="88"/>
        <v>000</v>
      </c>
      <c r="AK113" s="166" t="str">
        <f t="shared" si="89"/>
        <v>000</v>
      </c>
      <c r="AL113" s="167"/>
      <c r="AM113" s="168" t="str">
        <f t="shared" si="78"/>
        <v>км 0+000 - км 0+000</v>
      </c>
      <c r="AN113" s="169" t="str">
        <f t="shared" si="90"/>
        <v/>
      </c>
      <c r="AO113" s="170" t="e">
        <f t="shared" si="91"/>
        <v>#VALUE!</v>
      </c>
      <c r="AP113" s="171">
        <f t="shared" si="79"/>
        <v>0</v>
      </c>
      <c r="AQ113" s="172">
        <f t="shared" si="80"/>
        <v>0</v>
      </c>
      <c r="AR113" s="173"/>
      <c r="AS113" s="174">
        <f t="shared" si="81"/>
        <v>0</v>
      </c>
      <c r="AT113" s="174">
        <f t="shared" si="82"/>
        <v>0</v>
      </c>
      <c r="AU113" s="175">
        <f t="shared" si="83"/>
        <v>0</v>
      </c>
      <c r="AV113" s="176">
        <f t="shared" si="84"/>
        <v>0</v>
      </c>
      <c r="AW113" s="176" t="str">
        <f t="shared" si="85"/>
        <v>-</v>
      </c>
      <c r="AX113" s="177"/>
      <c r="AY113" s="178" t="str">
        <f t="shared" si="92"/>
        <v>км 0+000 - км 0+000</v>
      </c>
      <c r="AZ113" s="179" t="str">
        <f t="shared" si="93"/>
        <v>-</v>
      </c>
      <c r="BA113" s="180">
        <f t="shared" si="94"/>
        <v>0.5</v>
      </c>
      <c r="BB113" s="177"/>
      <c r="BC113" s="177"/>
      <c r="BD113" s="175" t="str">
        <f t="shared" si="95"/>
        <v>км 0+000 - км 0+000</v>
      </c>
      <c r="BE113" s="181">
        <f t="shared" si="96"/>
        <v>0.5</v>
      </c>
      <c r="BF113" s="182" t="e">
        <f t="shared" ca="1" si="86"/>
        <v>#N/A</v>
      </c>
    </row>
    <row r="114" spans="1:58" ht="16.5" x14ac:dyDescent="0.25">
      <c r="A114" s="110">
        <f t="shared" si="71"/>
        <v>0</v>
      </c>
      <c r="B114" s="110"/>
      <c r="C114" s="111">
        <f t="shared" si="70"/>
        <v>0</v>
      </c>
      <c r="D114" s="112"/>
      <c r="E114" s="113"/>
      <c r="F114" s="113"/>
      <c r="G114" s="113"/>
      <c r="H114" s="113"/>
      <c r="I114" s="113"/>
      <c r="J114" s="113"/>
      <c r="K114" s="113"/>
      <c r="L114" s="113"/>
      <c r="M114" s="114"/>
      <c r="N114" s="147" t="str">
        <f>IFERROR(VLOOKUP($F114,Лист1!$A$4:$F$72,2,FALSE),"")</f>
        <v/>
      </c>
      <c r="O114" s="147" t="str">
        <f>IFERROR(VLOOKUP($G114,Лист1!$A$4:$F$72,2,FALSE),"")</f>
        <v/>
      </c>
      <c r="P114" s="115" t="str">
        <f>IFERROR(VLOOKUP($H114,Лист1!$A$4:$F$72,2,FALSE),"")</f>
        <v/>
      </c>
      <c r="Q114" s="115" t="str">
        <f>IFERROR(VLOOKUP($I114,Лист1!$A$4:$F$72,2,FALSE),"")</f>
        <v/>
      </c>
      <c r="R114" s="115" t="str">
        <f>IFERROR(VLOOKUP($J114,Лист1!$A$4:$F$72,2,FALSE),"")</f>
        <v/>
      </c>
      <c r="S114" s="115" t="str">
        <f>IFERROR(VLOOKUP($K114,Лист1!$A$4:$F$72,2,FALSE),"")</f>
        <v/>
      </c>
      <c r="T114" s="115" t="str">
        <f>IFERROR(VLOOKUP($L114,Лист1!$A$4:$F$72,2,FALSE),"")</f>
        <v/>
      </c>
      <c r="U114" s="115" t="str">
        <f t="shared" si="87"/>
        <v/>
      </c>
      <c r="V114" s="148" t="str">
        <f>IFERROR(VLOOKUP($F114,Лист1!$A$4:$F$72,3,FALSE),"")</f>
        <v/>
      </c>
      <c r="W114" s="116" t="str">
        <f>IFERROR(VLOOKUP($G114,Лист1!$A$4:$F$72,3,FALSE),"")</f>
        <v/>
      </c>
      <c r="X114" s="116" t="str">
        <f>IFERROR(VLOOKUP($H114,Лист1!$A$4:$F$72,3,FALSE),"")</f>
        <v/>
      </c>
      <c r="Y114" s="116" t="str">
        <f>IFERROR(VLOOKUP($I114,Лист1!$A$4:$F$72,3,FALSE),"")</f>
        <v/>
      </c>
      <c r="Z114" s="116" t="str">
        <f>IFERROR(VLOOKUP($J114,Лист1!$A$4:$F$72,3,FALSE),"")</f>
        <v/>
      </c>
      <c r="AA114" s="116" t="str">
        <f>IFERROR(VLOOKUP($K114,Лист1!$A$4:$F$72,3,FALSE),"")</f>
        <v/>
      </c>
      <c r="AB114" s="116" t="str">
        <f>IFERROR(VLOOKUP($L114,Лист1!$A$4:$F$72,3,FALSE),"")</f>
        <v/>
      </c>
      <c r="AC114" s="116" t="str">
        <f>IFERROR(VLOOKUP($M114,Лист1!$A$4:$F$72,3,FALSE),"")</f>
        <v/>
      </c>
      <c r="AD114" s="152">
        <f t="shared" si="72"/>
        <v>0</v>
      </c>
      <c r="AE114" s="118">
        <f t="shared" si="73"/>
        <v>0</v>
      </c>
      <c r="AF114" s="119">
        <f t="shared" si="74"/>
        <v>0</v>
      </c>
      <c r="AG114" s="119">
        <f t="shared" si="75"/>
        <v>0</v>
      </c>
      <c r="AH114" s="119">
        <f t="shared" si="76"/>
        <v>0</v>
      </c>
      <c r="AI114" s="121">
        <f t="shared" si="77"/>
        <v>0</v>
      </c>
      <c r="AJ114" s="121" t="str">
        <f t="shared" si="88"/>
        <v>000</v>
      </c>
      <c r="AK114" s="121" t="str">
        <f t="shared" si="89"/>
        <v>000</v>
      </c>
      <c r="AL114" s="122"/>
      <c r="AM114" s="123" t="str">
        <f t="shared" si="78"/>
        <v>км 0+000 - км 0+000</v>
      </c>
      <c r="AN114" s="124" t="str">
        <f t="shared" si="90"/>
        <v/>
      </c>
      <c r="AO114" s="153" t="e">
        <f t="shared" si="91"/>
        <v>#VALUE!</v>
      </c>
      <c r="AP114" s="125">
        <f t="shared" si="79"/>
        <v>0</v>
      </c>
      <c r="AQ114" s="120">
        <f t="shared" si="80"/>
        <v>0</v>
      </c>
      <c r="AR114" s="126"/>
      <c r="AS114" s="127">
        <f t="shared" si="81"/>
        <v>0</v>
      </c>
      <c r="AT114" s="127">
        <f t="shared" si="82"/>
        <v>0</v>
      </c>
      <c r="AU114" s="128">
        <f t="shared" si="83"/>
        <v>0</v>
      </c>
      <c r="AV114" s="129">
        <f t="shared" si="84"/>
        <v>0</v>
      </c>
      <c r="AW114" s="129" t="str">
        <f t="shared" si="85"/>
        <v>-</v>
      </c>
      <c r="AX114" s="130"/>
      <c r="AY114" s="127" t="str">
        <f t="shared" si="92"/>
        <v>км 0+000 - км 0+000</v>
      </c>
      <c r="AZ114" s="129" t="str">
        <f t="shared" si="93"/>
        <v>-</v>
      </c>
      <c r="BA114" s="131">
        <f t="shared" si="94"/>
        <v>0.5</v>
      </c>
      <c r="BB114" s="130"/>
      <c r="BC114" s="130"/>
      <c r="BD114" s="128" t="str">
        <f t="shared" si="95"/>
        <v>км 0+000 - км 0+000</v>
      </c>
      <c r="BE114" s="131">
        <f t="shared" si="96"/>
        <v>0.5</v>
      </c>
      <c r="BF114" s="154" t="e">
        <f t="shared" ca="1" si="86"/>
        <v>#N/A</v>
      </c>
    </row>
    <row r="115" spans="1:58" ht="16.5" x14ac:dyDescent="0.25">
      <c r="A115" s="110">
        <f t="shared" si="71"/>
        <v>0</v>
      </c>
      <c r="B115" s="110"/>
      <c r="C115" s="111">
        <f t="shared" si="70"/>
        <v>0</v>
      </c>
      <c r="D115" s="155"/>
      <c r="E115" s="156"/>
      <c r="F115" s="156"/>
      <c r="G115" s="157"/>
      <c r="H115" s="157"/>
      <c r="I115" s="157"/>
      <c r="J115" s="157"/>
      <c r="K115" s="157"/>
      <c r="L115" s="157"/>
      <c r="M115" s="158"/>
      <c r="N115" s="159" t="str">
        <f>IFERROR(VLOOKUP($F115,Лист1!$A$4:$F$72,2,FALSE),"")</f>
        <v/>
      </c>
      <c r="O115" s="159" t="str">
        <f>IFERROR(VLOOKUP($G115,Лист1!$A$4:$F$72,2,FALSE),"")</f>
        <v/>
      </c>
      <c r="P115" s="160" t="str">
        <f>IFERROR(VLOOKUP($H115,Лист1!$A$4:$F$72,2,FALSE),"")</f>
        <v/>
      </c>
      <c r="Q115" s="160" t="str">
        <f>IFERROR(VLOOKUP($I115,Лист1!$A$4:$F$72,2,FALSE),"")</f>
        <v/>
      </c>
      <c r="R115" s="160" t="str">
        <f>IFERROR(VLOOKUP($J115,Лист1!$A$4:$F$72,2,FALSE),"")</f>
        <v/>
      </c>
      <c r="S115" s="160" t="str">
        <f>IFERROR(VLOOKUP($K115,Лист1!$A$4:$F$72,2,FALSE),"")</f>
        <v/>
      </c>
      <c r="T115" s="160" t="str">
        <f>IFERROR(VLOOKUP($L115,Лист1!$A$4:$F$72,2,FALSE),"")</f>
        <v/>
      </c>
      <c r="U115" s="160" t="str">
        <f t="shared" si="87"/>
        <v/>
      </c>
      <c r="V115" s="161" t="str">
        <f>IFERROR(VLOOKUP($F115,Лист1!$A$4:$F$72,3,FALSE),"")</f>
        <v/>
      </c>
      <c r="W115" s="162" t="str">
        <f>IFERROR(VLOOKUP($G115,Лист1!$A$4:$F$72,3,FALSE),"")</f>
        <v/>
      </c>
      <c r="X115" s="162" t="str">
        <f>IFERROR(VLOOKUP($H115,Лист1!$A$4:$F$72,3,FALSE),"")</f>
        <v/>
      </c>
      <c r="Y115" s="162" t="str">
        <f>IFERROR(VLOOKUP($I115,Лист1!$A$4:$F$72,3,FALSE),"")</f>
        <v/>
      </c>
      <c r="Z115" s="162" t="str">
        <f>IFERROR(VLOOKUP($J115,Лист1!$A$4:$F$72,3,FALSE),"")</f>
        <v/>
      </c>
      <c r="AA115" s="162" t="str">
        <f>IFERROR(VLOOKUP($K115,Лист1!$A$4:$F$72,3,FALSE),"")</f>
        <v/>
      </c>
      <c r="AB115" s="162" t="str">
        <f>IFERROR(VLOOKUP($L115,Лист1!$A$4:$F$72,3,FALSE),"")</f>
        <v/>
      </c>
      <c r="AC115" s="162" t="str">
        <f>IFERROR(VLOOKUP($M115,Лист1!$A$4:$F$72,3,FALSE),"")</f>
        <v/>
      </c>
      <c r="AD115" s="163">
        <f t="shared" si="72"/>
        <v>0</v>
      </c>
      <c r="AE115" s="164">
        <f t="shared" si="73"/>
        <v>0</v>
      </c>
      <c r="AF115" s="165">
        <f t="shared" si="74"/>
        <v>0</v>
      </c>
      <c r="AG115" s="165">
        <f t="shared" si="75"/>
        <v>0</v>
      </c>
      <c r="AH115" s="165">
        <f t="shared" si="76"/>
        <v>0</v>
      </c>
      <c r="AI115" s="166">
        <f t="shared" si="77"/>
        <v>0</v>
      </c>
      <c r="AJ115" s="166" t="str">
        <f t="shared" si="88"/>
        <v>000</v>
      </c>
      <c r="AK115" s="166" t="str">
        <f t="shared" si="89"/>
        <v>000</v>
      </c>
      <c r="AL115" s="167"/>
      <c r="AM115" s="168" t="str">
        <f t="shared" si="78"/>
        <v>км 0+000 - км 0+000</v>
      </c>
      <c r="AN115" s="169" t="str">
        <f t="shared" si="90"/>
        <v/>
      </c>
      <c r="AO115" s="170" t="e">
        <f t="shared" si="91"/>
        <v>#VALUE!</v>
      </c>
      <c r="AP115" s="171">
        <f t="shared" si="79"/>
        <v>0</v>
      </c>
      <c r="AQ115" s="172">
        <f t="shared" si="80"/>
        <v>0</v>
      </c>
      <c r="AR115" s="173"/>
      <c r="AS115" s="174">
        <f t="shared" si="81"/>
        <v>0</v>
      </c>
      <c r="AT115" s="174">
        <f t="shared" si="82"/>
        <v>0</v>
      </c>
      <c r="AU115" s="175">
        <f t="shared" si="83"/>
        <v>0</v>
      </c>
      <c r="AV115" s="176">
        <f t="shared" si="84"/>
        <v>0</v>
      </c>
      <c r="AW115" s="176" t="str">
        <f t="shared" si="85"/>
        <v>-</v>
      </c>
      <c r="AX115" s="177"/>
      <c r="AY115" s="178" t="str">
        <f t="shared" si="92"/>
        <v>км 0+000 - км 0+000</v>
      </c>
      <c r="AZ115" s="179" t="str">
        <f t="shared" si="93"/>
        <v>-</v>
      </c>
      <c r="BA115" s="180">
        <f t="shared" si="94"/>
        <v>0.5</v>
      </c>
      <c r="BB115" s="177"/>
      <c r="BC115" s="177"/>
      <c r="BD115" s="175" t="str">
        <f t="shared" si="95"/>
        <v>км 0+000 - км 0+000</v>
      </c>
      <c r="BE115" s="181">
        <f t="shared" si="96"/>
        <v>0.5</v>
      </c>
      <c r="BF115" s="182" t="e">
        <f t="shared" ca="1" si="86"/>
        <v>#N/A</v>
      </c>
    </row>
    <row r="116" spans="1:58" ht="16.5" x14ac:dyDescent="0.25">
      <c r="A116" s="110">
        <f t="shared" si="71"/>
        <v>0</v>
      </c>
      <c r="B116" s="110"/>
      <c r="C116" s="111">
        <f t="shared" si="70"/>
        <v>0</v>
      </c>
      <c r="D116" s="112"/>
      <c r="E116" s="113"/>
      <c r="F116" s="113"/>
      <c r="G116" s="113"/>
      <c r="H116" s="113"/>
      <c r="I116" s="113"/>
      <c r="J116" s="113"/>
      <c r="K116" s="113"/>
      <c r="L116" s="113"/>
      <c r="M116" s="114"/>
      <c r="N116" s="147" t="str">
        <f>IFERROR(VLOOKUP($F116,Лист1!$A$4:$F$72,2,FALSE),"")</f>
        <v/>
      </c>
      <c r="O116" s="147" t="str">
        <f>IFERROR(VLOOKUP($G116,Лист1!$A$4:$F$72,2,FALSE),"")</f>
        <v/>
      </c>
      <c r="P116" s="115" t="str">
        <f>IFERROR(VLOOKUP($H116,Лист1!$A$4:$F$72,2,FALSE),"")</f>
        <v/>
      </c>
      <c r="Q116" s="115" t="str">
        <f>IFERROR(VLOOKUP($I116,Лист1!$A$4:$F$72,2,FALSE),"")</f>
        <v/>
      </c>
      <c r="R116" s="115" t="str">
        <f>IFERROR(VLOOKUP($J116,Лист1!$A$4:$F$72,2,FALSE),"")</f>
        <v/>
      </c>
      <c r="S116" s="115" t="str">
        <f>IFERROR(VLOOKUP($K116,Лист1!$A$4:$F$72,2,FALSE),"")</f>
        <v/>
      </c>
      <c r="T116" s="115" t="str">
        <f>IFERROR(VLOOKUP($L116,Лист1!$A$4:$F$72,2,FALSE),"")</f>
        <v/>
      </c>
      <c r="U116" s="115" t="str">
        <f t="shared" si="87"/>
        <v/>
      </c>
      <c r="V116" s="148" t="str">
        <f>IFERROR(VLOOKUP($F116,Лист1!$A$4:$F$72,3,FALSE),"")</f>
        <v/>
      </c>
      <c r="W116" s="116" t="str">
        <f>IFERROR(VLOOKUP($G116,Лист1!$A$4:$F$72,3,FALSE),"")</f>
        <v/>
      </c>
      <c r="X116" s="116" t="str">
        <f>IFERROR(VLOOKUP($H116,Лист1!$A$4:$F$72,3,FALSE),"")</f>
        <v/>
      </c>
      <c r="Y116" s="116" t="str">
        <f>IFERROR(VLOOKUP($I116,Лист1!$A$4:$F$72,3,FALSE),"")</f>
        <v/>
      </c>
      <c r="Z116" s="116" t="str">
        <f>IFERROR(VLOOKUP($J116,Лист1!$A$4:$F$72,3,FALSE),"")</f>
        <v/>
      </c>
      <c r="AA116" s="116" t="str">
        <f>IFERROR(VLOOKUP($K116,Лист1!$A$4:$F$72,3,FALSE),"")</f>
        <v/>
      </c>
      <c r="AB116" s="116" t="str">
        <f>IFERROR(VLOOKUP($L116,Лист1!$A$4:$F$72,3,FALSE),"")</f>
        <v/>
      </c>
      <c r="AC116" s="116" t="str">
        <f>IFERROR(VLOOKUP($M116,Лист1!$A$4:$F$72,3,FALSE),"")</f>
        <v/>
      </c>
      <c r="AD116" s="152">
        <f t="shared" si="72"/>
        <v>0</v>
      </c>
      <c r="AE116" s="118">
        <f t="shared" si="73"/>
        <v>0</v>
      </c>
      <c r="AF116" s="119">
        <f t="shared" si="74"/>
        <v>0</v>
      </c>
      <c r="AG116" s="119">
        <f t="shared" si="75"/>
        <v>0</v>
      </c>
      <c r="AH116" s="119">
        <f t="shared" si="76"/>
        <v>0</v>
      </c>
      <c r="AI116" s="121">
        <f t="shared" si="77"/>
        <v>0</v>
      </c>
      <c r="AJ116" s="121" t="str">
        <f t="shared" si="88"/>
        <v>000</v>
      </c>
      <c r="AK116" s="121" t="str">
        <f t="shared" si="89"/>
        <v>000</v>
      </c>
      <c r="AL116" s="122"/>
      <c r="AM116" s="123" t="str">
        <f t="shared" si="78"/>
        <v>км 0+000 - км 0+000</v>
      </c>
      <c r="AN116" s="124" t="str">
        <f t="shared" si="90"/>
        <v/>
      </c>
      <c r="AO116" s="153" t="e">
        <f t="shared" si="91"/>
        <v>#VALUE!</v>
      </c>
      <c r="AP116" s="125">
        <f t="shared" si="79"/>
        <v>0</v>
      </c>
      <c r="AQ116" s="120">
        <f t="shared" si="80"/>
        <v>0</v>
      </c>
      <c r="AR116" s="126"/>
      <c r="AS116" s="127">
        <f t="shared" si="81"/>
        <v>0</v>
      </c>
      <c r="AT116" s="127">
        <f t="shared" si="82"/>
        <v>0</v>
      </c>
      <c r="AU116" s="128">
        <f t="shared" si="83"/>
        <v>0</v>
      </c>
      <c r="AV116" s="129">
        <f t="shared" si="84"/>
        <v>0</v>
      </c>
      <c r="AW116" s="129" t="str">
        <f t="shared" si="85"/>
        <v>-</v>
      </c>
      <c r="AX116" s="130"/>
      <c r="AY116" s="127" t="str">
        <f t="shared" si="92"/>
        <v>км 0+000 - км 0+000</v>
      </c>
      <c r="AZ116" s="129" t="str">
        <f t="shared" si="93"/>
        <v>-</v>
      </c>
      <c r="BA116" s="131">
        <f t="shared" si="94"/>
        <v>0.5</v>
      </c>
      <c r="BB116" s="130"/>
      <c r="BC116" s="130"/>
      <c r="BD116" s="128" t="str">
        <f t="shared" si="95"/>
        <v>км 0+000 - км 0+000</v>
      </c>
      <c r="BE116" s="131">
        <f t="shared" si="96"/>
        <v>0.5</v>
      </c>
      <c r="BF116" s="154" t="e">
        <f t="shared" ca="1" si="86"/>
        <v>#N/A</v>
      </c>
    </row>
    <row r="117" spans="1:58" ht="16.5" x14ac:dyDescent="0.25">
      <c r="A117" s="110">
        <f t="shared" si="71"/>
        <v>0</v>
      </c>
      <c r="B117" s="110"/>
      <c r="C117" s="111">
        <f t="shared" si="70"/>
        <v>0</v>
      </c>
      <c r="D117" s="155"/>
      <c r="E117" s="156"/>
      <c r="F117" s="156"/>
      <c r="G117" s="157"/>
      <c r="H117" s="157"/>
      <c r="I117" s="157"/>
      <c r="J117" s="157"/>
      <c r="K117" s="157"/>
      <c r="L117" s="157"/>
      <c r="M117" s="158"/>
      <c r="N117" s="159" t="str">
        <f>IFERROR(VLOOKUP($F117,Лист1!$A$4:$F$72,2,FALSE),"")</f>
        <v/>
      </c>
      <c r="O117" s="159" t="str">
        <f>IFERROR(VLOOKUP($G117,Лист1!$A$4:$F$72,2,FALSE),"")</f>
        <v/>
      </c>
      <c r="P117" s="160" t="str">
        <f>IFERROR(VLOOKUP($H117,Лист1!$A$4:$F$72,2,FALSE),"")</f>
        <v/>
      </c>
      <c r="Q117" s="160" t="str">
        <f>IFERROR(VLOOKUP($I117,Лист1!$A$4:$F$72,2,FALSE),"")</f>
        <v/>
      </c>
      <c r="R117" s="160" t="str">
        <f>IFERROR(VLOOKUP($J117,Лист1!$A$4:$F$72,2,FALSE),"")</f>
        <v/>
      </c>
      <c r="S117" s="160" t="str">
        <f>IFERROR(VLOOKUP($K117,Лист1!$A$4:$F$72,2,FALSE),"")</f>
        <v/>
      </c>
      <c r="T117" s="160" t="str">
        <f>IFERROR(VLOOKUP($L117,Лист1!$A$4:$F$72,2,FALSE),"")</f>
        <v/>
      </c>
      <c r="U117" s="160" t="str">
        <f t="shared" si="87"/>
        <v/>
      </c>
      <c r="V117" s="161" t="str">
        <f>IFERROR(VLOOKUP($F117,Лист1!$A$4:$F$72,3,FALSE),"")</f>
        <v/>
      </c>
      <c r="W117" s="162" t="str">
        <f>IFERROR(VLOOKUP($G117,Лист1!$A$4:$F$72,3,FALSE),"")</f>
        <v/>
      </c>
      <c r="X117" s="162" t="str">
        <f>IFERROR(VLOOKUP($H117,Лист1!$A$4:$F$72,3,FALSE),"")</f>
        <v/>
      </c>
      <c r="Y117" s="162" t="str">
        <f>IFERROR(VLOOKUP($I117,Лист1!$A$4:$F$72,3,FALSE),"")</f>
        <v/>
      </c>
      <c r="Z117" s="162" t="str">
        <f>IFERROR(VLOOKUP($J117,Лист1!$A$4:$F$72,3,FALSE),"")</f>
        <v/>
      </c>
      <c r="AA117" s="162" t="str">
        <f>IFERROR(VLOOKUP($K117,Лист1!$A$4:$F$72,3,FALSE),"")</f>
        <v/>
      </c>
      <c r="AB117" s="162" t="str">
        <f>IFERROR(VLOOKUP($L117,Лист1!$A$4:$F$72,3,FALSE),"")</f>
        <v/>
      </c>
      <c r="AC117" s="162" t="str">
        <f>IFERROR(VLOOKUP($M117,Лист1!$A$4:$F$72,3,FALSE),"")</f>
        <v/>
      </c>
      <c r="AD117" s="163">
        <f t="shared" si="72"/>
        <v>0</v>
      </c>
      <c r="AE117" s="164">
        <f t="shared" si="73"/>
        <v>0</v>
      </c>
      <c r="AF117" s="165">
        <f t="shared" si="74"/>
        <v>0</v>
      </c>
      <c r="AG117" s="165">
        <f t="shared" si="75"/>
        <v>0</v>
      </c>
      <c r="AH117" s="165">
        <f t="shared" si="76"/>
        <v>0</v>
      </c>
      <c r="AI117" s="166">
        <f t="shared" si="77"/>
        <v>0</v>
      </c>
      <c r="AJ117" s="166" t="str">
        <f t="shared" si="88"/>
        <v>000</v>
      </c>
      <c r="AK117" s="166" t="str">
        <f t="shared" si="89"/>
        <v>000</v>
      </c>
      <c r="AL117" s="167"/>
      <c r="AM117" s="168" t="str">
        <f t="shared" si="78"/>
        <v>км 0+000 - км 0+000</v>
      </c>
      <c r="AN117" s="169" t="str">
        <f t="shared" si="90"/>
        <v/>
      </c>
      <c r="AO117" s="170" t="e">
        <f t="shared" si="91"/>
        <v>#VALUE!</v>
      </c>
      <c r="AP117" s="171">
        <f t="shared" si="79"/>
        <v>0</v>
      </c>
      <c r="AQ117" s="172">
        <f t="shared" si="80"/>
        <v>0</v>
      </c>
      <c r="AR117" s="173"/>
      <c r="AS117" s="174">
        <f t="shared" si="81"/>
        <v>0</v>
      </c>
      <c r="AT117" s="174">
        <f t="shared" si="82"/>
        <v>0</v>
      </c>
      <c r="AU117" s="175">
        <f t="shared" si="83"/>
        <v>0</v>
      </c>
      <c r="AV117" s="176">
        <f t="shared" si="84"/>
        <v>0</v>
      </c>
      <c r="AW117" s="176" t="str">
        <f t="shared" si="85"/>
        <v>-</v>
      </c>
      <c r="AX117" s="177"/>
      <c r="AY117" s="178" t="str">
        <f t="shared" si="92"/>
        <v>км 0+000 - км 0+000</v>
      </c>
      <c r="AZ117" s="179" t="str">
        <f t="shared" si="93"/>
        <v>-</v>
      </c>
      <c r="BA117" s="180">
        <f t="shared" si="94"/>
        <v>0.5</v>
      </c>
      <c r="BB117" s="177"/>
      <c r="BC117" s="177"/>
      <c r="BD117" s="175" t="str">
        <f t="shared" si="95"/>
        <v>км 0+000 - км 0+000</v>
      </c>
      <c r="BE117" s="181">
        <f t="shared" si="96"/>
        <v>0.5</v>
      </c>
      <c r="BF117" s="182" t="e">
        <f t="shared" ca="1" si="86"/>
        <v>#N/A</v>
      </c>
    </row>
    <row r="118" spans="1:58" ht="16.5" x14ac:dyDescent="0.25">
      <c r="A118" s="110">
        <f t="shared" si="71"/>
        <v>0</v>
      </c>
      <c r="B118" s="110"/>
      <c r="C118" s="111">
        <f t="shared" si="70"/>
        <v>0</v>
      </c>
      <c r="D118" s="112"/>
      <c r="E118" s="113"/>
      <c r="F118" s="113"/>
      <c r="G118" s="113"/>
      <c r="H118" s="113"/>
      <c r="I118" s="113"/>
      <c r="J118" s="113"/>
      <c r="K118" s="113"/>
      <c r="L118" s="113"/>
      <c r="M118" s="114"/>
      <c r="N118" s="147" t="str">
        <f>IFERROR(VLOOKUP($F118,Лист1!$A$4:$F$72,2,FALSE),"")</f>
        <v/>
      </c>
      <c r="O118" s="147" t="str">
        <f>IFERROR(VLOOKUP($G118,Лист1!$A$4:$F$72,2,FALSE),"")</f>
        <v/>
      </c>
      <c r="P118" s="115" t="str">
        <f>IFERROR(VLOOKUP($H118,Лист1!$A$4:$F$72,2,FALSE),"")</f>
        <v/>
      </c>
      <c r="Q118" s="115" t="str">
        <f>IFERROR(VLOOKUP($I118,Лист1!$A$4:$F$72,2,FALSE),"")</f>
        <v/>
      </c>
      <c r="R118" s="115" t="str">
        <f>IFERROR(VLOOKUP($J118,Лист1!$A$4:$F$72,2,FALSE),"")</f>
        <v/>
      </c>
      <c r="S118" s="115" t="str">
        <f>IFERROR(VLOOKUP($K118,Лист1!$A$4:$F$72,2,FALSE),"")</f>
        <v/>
      </c>
      <c r="T118" s="115" t="str">
        <f>IFERROR(VLOOKUP($L118,Лист1!$A$4:$F$72,2,FALSE),"")</f>
        <v/>
      </c>
      <c r="U118" s="115" t="str">
        <f t="shared" si="87"/>
        <v/>
      </c>
      <c r="V118" s="148" t="str">
        <f>IFERROR(VLOOKUP($F118,Лист1!$A$4:$F$72,3,FALSE),"")</f>
        <v/>
      </c>
      <c r="W118" s="116" t="str">
        <f>IFERROR(VLOOKUP($G118,Лист1!$A$4:$F$72,3,FALSE),"")</f>
        <v/>
      </c>
      <c r="X118" s="116" t="str">
        <f>IFERROR(VLOOKUP($H118,Лист1!$A$4:$F$72,3,FALSE),"")</f>
        <v/>
      </c>
      <c r="Y118" s="116" t="str">
        <f>IFERROR(VLOOKUP($I118,Лист1!$A$4:$F$72,3,FALSE),"")</f>
        <v/>
      </c>
      <c r="Z118" s="116" t="str">
        <f>IFERROR(VLOOKUP($J118,Лист1!$A$4:$F$72,3,FALSE),"")</f>
        <v/>
      </c>
      <c r="AA118" s="116" t="str">
        <f>IFERROR(VLOOKUP($K118,Лист1!$A$4:$F$72,3,FALSE),"")</f>
        <v/>
      </c>
      <c r="AB118" s="116" t="str">
        <f>IFERROR(VLOOKUP($L118,Лист1!$A$4:$F$72,3,FALSE),"")</f>
        <v/>
      </c>
      <c r="AC118" s="116" t="str">
        <f>IFERROR(VLOOKUP($M118,Лист1!$A$4:$F$72,3,FALSE),"")</f>
        <v/>
      </c>
      <c r="AD118" s="152">
        <f t="shared" si="72"/>
        <v>0</v>
      </c>
      <c r="AE118" s="118">
        <f t="shared" si="73"/>
        <v>0</v>
      </c>
      <c r="AF118" s="119">
        <f t="shared" si="74"/>
        <v>0</v>
      </c>
      <c r="AG118" s="119">
        <f t="shared" si="75"/>
        <v>0</v>
      </c>
      <c r="AH118" s="119">
        <f t="shared" si="76"/>
        <v>0</v>
      </c>
      <c r="AI118" s="121">
        <f t="shared" si="77"/>
        <v>0</v>
      </c>
      <c r="AJ118" s="121" t="str">
        <f t="shared" si="88"/>
        <v>000</v>
      </c>
      <c r="AK118" s="121" t="str">
        <f t="shared" si="89"/>
        <v>000</v>
      </c>
      <c r="AL118" s="122"/>
      <c r="AM118" s="123" t="str">
        <f t="shared" si="78"/>
        <v>км 0+000 - км 0+000</v>
      </c>
      <c r="AN118" s="124" t="str">
        <f t="shared" si="90"/>
        <v/>
      </c>
      <c r="AO118" s="153" t="e">
        <f t="shared" si="91"/>
        <v>#VALUE!</v>
      </c>
      <c r="AP118" s="125">
        <f t="shared" si="79"/>
        <v>0</v>
      </c>
      <c r="AQ118" s="120">
        <f t="shared" si="80"/>
        <v>0</v>
      </c>
      <c r="AR118" s="126"/>
      <c r="AS118" s="127">
        <f t="shared" si="81"/>
        <v>0</v>
      </c>
      <c r="AT118" s="127">
        <f t="shared" si="82"/>
        <v>0</v>
      </c>
      <c r="AU118" s="128">
        <f t="shared" si="83"/>
        <v>0</v>
      </c>
      <c r="AV118" s="129">
        <f t="shared" si="84"/>
        <v>0</v>
      </c>
      <c r="AW118" s="129" t="str">
        <f t="shared" si="85"/>
        <v>-</v>
      </c>
      <c r="AX118" s="130"/>
      <c r="AY118" s="127" t="str">
        <f t="shared" si="92"/>
        <v>км 0+000 - км 0+000</v>
      </c>
      <c r="AZ118" s="129" t="str">
        <f t="shared" si="93"/>
        <v>-</v>
      </c>
      <c r="BA118" s="131">
        <f t="shared" si="94"/>
        <v>0.5</v>
      </c>
      <c r="BB118" s="130"/>
      <c r="BC118" s="130"/>
      <c r="BD118" s="128" t="str">
        <f t="shared" si="95"/>
        <v>км 0+000 - км 0+000</v>
      </c>
      <c r="BE118" s="131">
        <f t="shared" si="96"/>
        <v>0.5</v>
      </c>
      <c r="BF118" s="154" t="e">
        <f t="shared" ca="1" si="86"/>
        <v>#N/A</v>
      </c>
    </row>
    <row r="119" spans="1:58" ht="16.5" x14ac:dyDescent="0.25">
      <c r="A119" s="110">
        <f t="shared" si="71"/>
        <v>0</v>
      </c>
      <c r="B119" s="110"/>
      <c r="C119" s="111">
        <f t="shared" si="70"/>
        <v>0</v>
      </c>
      <c r="D119" s="155"/>
      <c r="E119" s="156"/>
      <c r="F119" s="156"/>
      <c r="G119" s="157"/>
      <c r="H119" s="157"/>
      <c r="I119" s="157"/>
      <c r="J119" s="157"/>
      <c r="K119" s="157"/>
      <c r="L119" s="157"/>
      <c r="M119" s="158"/>
      <c r="N119" s="159" t="str">
        <f>IFERROR(VLOOKUP($F119,Лист1!$A$4:$F$72,2,FALSE),"")</f>
        <v/>
      </c>
      <c r="O119" s="159" t="str">
        <f>IFERROR(VLOOKUP($G119,Лист1!$A$4:$F$72,2,FALSE),"")</f>
        <v/>
      </c>
      <c r="P119" s="160" t="str">
        <f>IFERROR(VLOOKUP($H119,Лист1!$A$4:$F$72,2,FALSE),"")</f>
        <v/>
      </c>
      <c r="Q119" s="160" t="str">
        <f>IFERROR(VLOOKUP($I119,Лист1!$A$4:$F$72,2,FALSE),"")</f>
        <v/>
      </c>
      <c r="R119" s="160" t="str">
        <f>IFERROR(VLOOKUP($J119,Лист1!$A$4:$F$72,2,FALSE),"")</f>
        <v/>
      </c>
      <c r="S119" s="160" t="str">
        <f>IFERROR(VLOOKUP($K119,Лист1!$A$4:$F$72,2,FALSE),"")</f>
        <v/>
      </c>
      <c r="T119" s="160" t="str">
        <f>IFERROR(VLOOKUP($L119,Лист1!$A$4:$F$72,2,FALSE),"")</f>
        <v/>
      </c>
      <c r="U119" s="160" t="str">
        <f t="shared" si="87"/>
        <v/>
      </c>
      <c r="V119" s="161" t="str">
        <f>IFERROR(VLOOKUP($F119,Лист1!$A$4:$F$72,3,FALSE),"")</f>
        <v/>
      </c>
      <c r="W119" s="162" t="str">
        <f>IFERROR(VLOOKUP($G119,Лист1!$A$4:$F$72,3,FALSE),"")</f>
        <v/>
      </c>
      <c r="X119" s="162" t="str">
        <f>IFERROR(VLOOKUP($H119,Лист1!$A$4:$F$72,3,FALSE),"")</f>
        <v/>
      </c>
      <c r="Y119" s="162" t="str">
        <f>IFERROR(VLOOKUP($I119,Лист1!$A$4:$F$72,3,FALSE),"")</f>
        <v/>
      </c>
      <c r="Z119" s="162" t="str">
        <f>IFERROR(VLOOKUP($J119,Лист1!$A$4:$F$72,3,FALSE),"")</f>
        <v/>
      </c>
      <c r="AA119" s="162" t="str">
        <f>IFERROR(VLOOKUP($K119,Лист1!$A$4:$F$72,3,FALSE),"")</f>
        <v/>
      </c>
      <c r="AB119" s="162" t="str">
        <f>IFERROR(VLOOKUP($L119,Лист1!$A$4:$F$72,3,FALSE),"")</f>
        <v/>
      </c>
      <c r="AC119" s="162" t="str">
        <f>IFERROR(VLOOKUP($M119,Лист1!$A$4:$F$72,3,FALSE),"")</f>
        <v/>
      </c>
      <c r="AD119" s="163">
        <f t="shared" si="72"/>
        <v>0</v>
      </c>
      <c r="AE119" s="164">
        <f t="shared" si="73"/>
        <v>0</v>
      </c>
      <c r="AF119" s="165">
        <f t="shared" si="74"/>
        <v>0</v>
      </c>
      <c r="AG119" s="165">
        <f t="shared" si="75"/>
        <v>0</v>
      </c>
      <c r="AH119" s="165">
        <f t="shared" si="76"/>
        <v>0</v>
      </c>
      <c r="AI119" s="166">
        <f t="shared" si="77"/>
        <v>0</v>
      </c>
      <c r="AJ119" s="166" t="str">
        <f t="shared" si="88"/>
        <v>000</v>
      </c>
      <c r="AK119" s="166" t="str">
        <f t="shared" si="89"/>
        <v>000</v>
      </c>
      <c r="AL119" s="167"/>
      <c r="AM119" s="168" t="str">
        <f t="shared" si="78"/>
        <v>км 0+000 - км 0+000</v>
      </c>
      <c r="AN119" s="169" t="str">
        <f t="shared" si="90"/>
        <v/>
      </c>
      <c r="AO119" s="170" t="e">
        <f t="shared" si="91"/>
        <v>#VALUE!</v>
      </c>
      <c r="AP119" s="171">
        <f t="shared" si="79"/>
        <v>0</v>
      </c>
      <c r="AQ119" s="172">
        <f t="shared" si="80"/>
        <v>0</v>
      </c>
      <c r="AR119" s="173"/>
      <c r="AS119" s="174">
        <f t="shared" si="81"/>
        <v>0</v>
      </c>
      <c r="AT119" s="174">
        <f t="shared" si="82"/>
        <v>0</v>
      </c>
      <c r="AU119" s="175">
        <f t="shared" si="83"/>
        <v>0</v>
      </c>
      <c r="AV119" s="176">
        <f t="shared" si="84"/>
        <v>0</v>
      </c>
      <c r="AW119" s="176" t="str">
        <f t="shared" si="85"/>
        <v>-</v>
      </c>
      <c r="AX119" s="177"/>
      <c r="AY119" s="178" t="str">
        <f t="shared" si="92"/>
        <v>км 0+000 - км 0+000</v>
      </c>
      <c r="AZ119" s="179" t="str">
        <f t="shared" si="93"/>
        <v>-</v>
      </c>
      <c r="BA119" s="180">
        <f t="shared" si="94"/>
        <v>0.5</v>
      </c>
      <c r="BB119" s="177"/>
      <c r="BC119" s="177"/>
      <c r="BD119" s="175" t="str">
        <f t="shared" si="95"/>
        <v>км 0+000 - км 0+000</v>
      </c>
      <c r="BE119" s="181">
        <f t="shared" si="96"/>
        <v>0.5</v>
      </c>
      <c r="BF119" s="182" t="e">
        <f t="shared" ca="1" si="86"/>
        <v>#N/A</v>
      </c>
    </row>
    <row r="120" spans="1:58" ht="16.5" x14ac:dyDescent="0.25">
      <c r="A120" s="110">
        <f t="shared" si="71"/>
        <v>0</v>
      </c>
      <c r="B120" s="110"/>
      <c r="C120" s="111">
        <f t="shared" si="70"/>
        <v>0</v>
      </c>
      <c r="D120" s="112"/>
      <c r="E120" s="113"/>
      <c r="F120" s="113"/>
      <c r="G120" s="113"/>
      <c r="H120" s="113"/>
      <c r="I120" s="113"/>
      <c r="J120" s="113"/>
      <c r="K120" s="113"/>
      <c r="L120" s="113"/>
      <c r="M120" s="114"/>
      <c r="N120" s="147" t="str">
        <f>IFERROR(VLOOKUP($F120,Лист1!$A$4:$F$72,2,FALSE),"")</f>
        <v/>
      </c>
      <c r="O120" s="147" t="str">
        <f>IFERROR(VLOOKUP($G120,Лист1!$A$4:$F$72,2,FALSE),"")</f>
        <v/>
      </c>
      <c r="P120" s="115" t="str">
        <f>IFERROR(VLOOKUP($H120,Лист1!$A$4:$F$72,2,FALSE),"")</f>
        <v/>
      </c>
      <c r="Q120" s="115" t="str">
        <f>IFERROR(VLOOKUP($I120,Лист1!$A$4:$F$72,2,FALSE),"")</f>
        <v/>
      </c>
      <c r="R120" s="115" t="str">
        <f>IFERROR(VLOOKUP($J120,Лист1!$A$4:$F$72,2,FALSE),"")</f>
        <v/>
      </c>
      <c r="S120" s="115" t="str">
        <f>IFERROR(VLOOKUP($K120,Лист1!$A$4:$F$72,2,FALSE),"")</f>
        <v/>
      </c>
      <c r="T120" s="115" t="str">
        <f>IFERROR(VLOOKUP($L120,Лист1!$A$4:$F$72,2,FALSE),"")</f>
        <v/>
      </c>
      <c r="U120" s="115" t="str">
        <f t="shared" si="87"/>
        <v/>
      </c>
      <c r="V120" s="148" t="str">
        <f>IFERROR(VLOOKUP($F120,Лист1!$A$4:$F$72,3,FALSE),"")</f>
        <v/>
      </c>
      <c r="W120" s="116" t="str">
        <f>IFERROR(VLOOKUP($G120,Лист1!$A$4:$F$72,3,FALSE),"")</f>
        <v/>
      </c>
      <c r="X120" s="116" t="str">
        <f>IFERROR(VLOOKUP($H120,Лист1!$A$4:$F$72,3,FALSE),"")</f>
        <v/>
      </c>
      <c r="Y120" s="116" t="str">
        <f>IFERROR(VLOOKUP($I120,Лист1!$A$4:$F$72,3,FALSE),"")</f>
        <v/>
      </c>
      <c r="Z120" s="116" t="str">
        <f>IFERROR(VLOOKUP($J120,Лист1!$A$4:$F$72,3,FALSE),"")</f>
        <v/>
      </c>
      <c r="AA120" s="116" t="str">
        <f>IFERROR(VLOOKUP($K120,Лист1!$A$4:$F$72,3,FALSE),"")</f>
        <v/>
      </c>
      <c r="AB120" s="116" t="str">
        <f>IFERROR(VLOOKUP($L120,Лист1!$A$4:$F$72,3,FALSE),"")</f>
        <v/>
      </c>
      <c r="AC120" s="116" t="str">
        <f>IFERROR(VLOOKUP($M120,Лист1!$A$4:$F$72,3,FALSE),"")</f>
        <v/>
      </c>
      <c r="AD120" s="152">
        <f t="shared" si="72"/>
        <v>0</v>
      </c>
      <c r="AE120" s="118">
        <f t="shared" si="73"/>
        <v>0</v>
      </c>
      <c r="AF120" s="119">
        <f t="shared" si="74"/>
        <v>0</v>
      </c>
      <c r="AG120" s="119">
        <f t="shared" si="75"/>
        <v>0</v>
      </c>
      <c r="AH120" s="119">
        <f t="shared" si="76"/>
        <v>0</v>
      </c>
      <c r="AI120" s="121">
        <f t="shared" si="77"/>
        <v>0</v>
      </c>
      <c r="AJ120" s="121" t="str">
        <f t="shared" si="88"/>
        <v>000</v>
      </c>
      <c r="AK120" s="121" t="str">
        <f t="shared" si="89"/>
        <v>000</v>
      </c>
      <c r="AL120" s="122"/>
      <c r="AM120" s="123" t="str">
        <f t="shared" si="78"/>
        <v>км 0+000 - км 0+000</v>
      </c>
      <c r="AN120" s="124" t="str">
        <f t="shared" si="90"/>
        <v/>
      </c>
      <c r="AO120" s="153" t="e">
        <f t="shared" si="91"/>
        <v>#VALUE!</v>
      </c>
      <c r="AP120" s="125">
        <f t="shared" si="79"/>
        <v>0</v>
      </c>
      <c r="AQ120" s="120">
        <f t="shared" si="80"/>
        <v>0</v>
      </c>
      <c r="AR120" s="126"/>
      <c r="AS120" s="127">
        <f t="shared" si="81"/>
        <v>0</v>
      </c>
      <c r="AT120" s="127">
        <f t="shared" si="82"/>
        <v>0</v>
      </c>
      <c r="AU120" s="128">
        <f t="shared" si="83"/>
        <v>0</v>
      </c>
      <c r="AV120" s="129">
        <f t="shared" si="84"/>
        <v>0</v>
      </c>
      <c r="AW120" s="129" t="str">
        <f t="shared" si="85"/>
        <v>-</v>
      </c>
      <c r="AX120" s="130"/>
      <c r="AY120" s="127" t="str">
        <f t="shared" si="92"/>
        <v>км 0+000 - км 0+000</v>
      </c>
      <c r="AZ120" s="129" t="str">
        <f t="shared" si="93"/>
        <v>-</v>
      </c>
      <c r="BA120" s="131">
        <f t="shared" si="94"/>
        <v>0.5</v>
      </c>
      <c r="BB120" s="130"/>
      <c r="BC120" s="130"/>
      <c r="BD120" s="128" t="str">
        <f t="shared" si="95"/>
        <v>км 0+000 - км 0+000</v>
      </c>
      <c r="BE120" s="131">
        <f t="shared" si="96"/>
        <v>0.5</v>
      </c>
      <c r="BF120" s="154" t="e">
        <f t="shared" ca="1" si="86"/>
        <v>#N/A</v>
      </c>
    </row>
    <row r="121" spans="1:58" ht="16.5" x14ac:dyDescent="0.25">
      <c r="A121" s="110">
        <f t="shared" si="71"/>
        <v>0</v>
      </c>
      <c r="B121" s="110"/>
      <c r="C121" s="111">
        <f t="shared" si="70"/>
        <v>0</v>
      </c>
      <c r="D121" s="155"/>
      <c r="E121" s="156"/>
      <c r="F121" s="156"/>
      <c r="G121" s="157"/>
      <c r="H121" s="157"/>
      <c r="I121" s="157"/>
      <c r="J121" s="157"/>
      <c r="K121" s="157"/>
      <c r="L121" s="157"/>
      <c r="M121" s="158"/>
      <c r="N121" s="159" t="str">
        <f>IFERROR(VLOOKUP($F121,Лист1!$A$4:$F$72,2,FALSE),"")</f>
        <v/>
      </c>
      <c r="O121" s="159" t="str">
        <f>IFERROR(VLOOKUP($G121,Лист1!$A$4:$F$72,2,FALSE),"")</f>
        <v/>
      </c>
      <c r="P121" s="160" t="str">
        <f>IFERROR(VLOOKUP($H121,Лист1!$A$4:$F$72,2,FALSE),"")</f>
        <v/>
      </c>
      <c r="Q121" s="160" t="str">
        <f>IFERROR(VLOOKUP($I121,Лист1!$A$4:$F$72,2,FALSE),"")</f>
        <v/>
      </c>
      <c r="R121" s="160" t="str">
        <f>IFERROR(VLOOKUP($J121,Лист1!$A$4:$F$72,2,FALSE),"")</f>
        <v/>
      </c>
      <c r="S121" s="160" t="str">
        <f>IFERROR(VLOOKUP($K121,Лист1!$A$4:$F$72,2,FALSE),"")</f>
        <v/>
      </c>
      <c r="T121" s="160" t="str">
        <f>IFERROR(VLOOKUP($L121,Лист1!$A$4:$F$72,2,FALSE),"")</f>
        <v/>
      </c>
      <c r="U121" s="160" t="str">
        <f t="shared" si="87"/>
        <v/>
      </c>
      <c r="V121" s="161" t="str">
        <f>IFERROR(VLOOKUP($F121,Лист1!$A$4:$F$72,3,FALSE),"")</f>
        <v/>
      </c>
      <c r="W121" s="162" t="str">
        <f>IFERROR(VLOOKUP($G121,Лист1!$A$4:$F$72,3,FALSE),"")</f>
        <v/>
      </c>
      <c r="X121" s="162" t="str">
        <f>IFERROR(VLOOKUP($H121,Лист1!$A$4:$F$72,3,FALSE),"")</f>
        <v/>
      </c>
      <c r="Y121" s="162" t="str">
        <f>IFERROR(VLOOKUP($I121,Лист1!$A$4:$F$72,3,FALSE),"")</f>
        <v/>
      </c>
      <c r="Z121" s="162" t="str">
        <f>IFERROR(VLOOKUP($J121,Лист1!$A$4:$F$72,3,FALSE),"")</f>
        <v/>
      </c>
      <c r="AA121" s="162" t="str">
        <f>IFERROR(VLOOKUP($K121,Лист1!$A$4:$F$72,3,FALSE),"")</f>
        <v/>
      </c>
      <c r="AB121" s="162" t="str">
        <f>IFERROR(VLOOKUP($L121,Лист1!$A$4:$F$72,3,FALSE),"")</f>
        <v/>
      </c>
      <c r="AC121" s="162" t="str">
        <f>IFERROR(VLOOKUP($M121,Лист1!$A$4:$F$72,3,FALSE),"")</f>
        <v/>
      </c>
      <c r="AD121" s="163">
        <f t="shared" si="72"/>
        <v>0</v>
      </c>
      <c r="AE121" s="164">
        <f t="shared" si="73"/>
        <v>0</v>
      </c>
      <c r="AF121" s="165">
        <f t="shared" si="74"/>
        <v>0</v>
      </c>
      <c r="AG121" s="165">
        <f t="shared" si="75"/>
        <v>0</v>
      </c>
      <c r="AH121" s="165">
        <f t="shared" si="76"/>
        <v>0</v>
      </c>
      <c r="AI121" s="166">
        <f t="shared" si="77"/>
        <v>0</v>
      </c>
      <c r="AJ121" s="166" t="str">
        <f t="shared" si="88"/>
        <v>000</v>
      </c>
      <c r="AK121" s="166" t="str">
        <f t="shared" si="89"/>
        <v>000</v>
      </c>
      <c r="AL121" s="167"/>
      <c r="AM121" s="168" t="str">
        <f t="shared" si="78"/>
        <v>км 0+000 - км 0+000</v>
      </c>
      <c r="AN121" s="169" t="str">
        <f t="shared" si="90"/>
        <v/>
      </c>
      <c r="AO121" s="170" t="e">
        <f t="shared" si="91"/>
        <v>#VALUE!</v>
      </c>
      <c r="AP121" s="171">
        <f t="shared" si="79"/>
        <v>0</v>
      </c>
      <c r="AQ121" s="172">
        <f t="shared" si="80"/>
        <v>0</v>
      </c>
      <c r="AR121" s="173"/>
      <c r="AS121" s="174">
        <f t="shared" si="81"/>
        <v>0</v>
      </c>
      <c r="AT121" s="174">
        <f t="shared" si="82"/>
        <v>0</v>
      </c>
      <c r="AU121" s="175">
        <f t="shared" si="83"/>
        <v>0</v>
      </c>
      <c r="AV121" s="176">
        <f t="shared" si="84"/>
        <v>0</v>
      </c>
      <c r="AW121" s="176" t="str">
        <f t="shared" si="85"/>
        <v>-</v>
      </c>
      <c r="AX121" s="177"/>
      <c r="AY121" s="178" t="str">
        <f t="shared" si="92"/>
        <v>км 0+000 - км 0+000</v>
      </c>
      <c r="AZ121" s="179" t="str">
        <f t="shared" si="93"/>
        <v>-</v>
      </c>
      <c r="BA121" s="180">
        <f t="shared" si="94"/>
        <v>0.5</v>
      </c>
      <c r="BB121" s="177"/>
      <c r="BC121" s="177"/>
      <c r="BD121" s="175" t="str">
        <f t="shared" si="95"/>
        <v>км 0+000 - км 0+000</v>
      </c>
      <c r="BE121" s="181">
        <f t="shared" si="96"/>
        <v>0.5</v>
      </c>
      <c r="BF121" s="182" t="e">
        <f t="shared" ca="1" si="86"/>
        <v>#N/A</v>
      </c>
    </row>
    <row r="122" spans="1:58" ht="16.5" x14ac:dyDescent="0.25">
      <c r="A122" s="110">
        <f t="shared" si="71"/>
        <v>0</v>
      </c>
      <c r="B122" s="110"/>
      <c r="C122" s="111">
        <f t="shared" si="70"/>
        <v>0</v>
      </c>
      <c r="D122" s="112"/>
      <c r="E122" s="113"/>
      <c r="F122" s="113"/>
      <c r="G122" s="113"/>
      <c r="H122" s="113"/>
      <c r="I122" s="113"/>
      <c r="J122" s="113"/>
      <c r="K122" s="113"/>
      <c r="L122" s="113"/>
      <c r="M122" s="114"/>
      <c r="N122" s="147" t="str">
        <f>IFERROR(VLOOKUP($F122,Лист1!$A$4:$F$72,2,FALSE),"")</f>
        <v/>
      </c>
      <c r="O122" s="147" t="str">
        <f>IFERROR(VLOOKUP($G122,Лист1!$A$4:$F$72,2,FALSE),"")</f>
        <v/>
      </c>
      <c r="P122" s="115" t="str">
        <f>IFERROR(VLOOKUP($H122,Лист1!$A$4:$F$72,2,FALSE),"")</f>
        <v/>
      </c>
      <c r="Q122" s="115" t="str">
        <f>IFERROR(VLOOKUP($I122,Лист1!$A$4:$F$72,2,FALSE),"")</f>
        <v/>
      </c>
      <c r="R122" s="115" t="str">
        <f>IFERROR(VLOOKUP($J122,Лист1!$A$4:$F$72,2,FALSE),"")</f>
        <v/>
      </c>
      <c r="S122" s="115" t="str">
        <f>IFERROR(VLOOKUP($K122,Лист1!$A$4:$F$72,2,FALSE),"")</f>
        <v/>
      </c>
      <c r="T122" s="115" t="str">
        <f>IFERROR(VLOOKUP($L122,Лист1!$A$4:$F$72,2,FALSE),"")</f>
        <v/>
      </c>
      <c r="U122" s="115" t="str">
        <f t="shared" si="87"/>
        <v/>
      </c>
      <c r="V122" s="148" t="str">
        <f>IFERROR(VLOOKUP($F122,Лист1!$A$4:$F$72,3,FALSE),"")</f>
        <v/>
      </c>
      <c r="W122" s="116" t="str">
        <f>IFERROR(VLOOKUP($G122,Лист1!$A$4:$F$72,3,FALSE),"")</f>
        <v/>
      </c>
      <c r="X122" s="116" t="str">
        <f>IFERROR(VLOOKUP($H122,Лист1!$A$4:$F$72,3,FALSE),"")</f>
        <v/>
      </c>
      <c r="Y122" s="116" t="str">
        <f>IFERROR(VLOOKUP($I122,Лист1!$A$4:$F$72,3,FALSE),"")</f>
        <v/>
      </c>
      <c r="Z122" s="116" t="str">
        <f>IFERROR(VLOOKUP($J122,Лист1!$A$4:$F$72,3,FALSE),"")</f>
        <v/>
      </c>
      <c r="AA122" s="116" t="str">
        <f>IFERROR(VLOOKUP($K122,Лист1!$A$4:$F$72,3,FALSE),"")</f>
        <v/>
      </c>
      <c r="AB122" s="116" t="str">
        <f>IFERROR(VLOOKUP($L122,Лист1!$A$4:$F$72,3,FALSE),"")</f>
        <v/>
      </c>
      <c r="AC122" s="116" t="str">
        <f>IFERROR(VLOOKUP($M122,Лист1!$A$4:$F$72,3,FALSE),"")</f>
        <v/>
      </c>
      <c r="AD122" s="152">
        <f t="shared" si="72"/>
        <v>0</v>
      </c>
      <c r="AE122" s="118">
        <f t="shared" si="73"/>
        <v>0</v>
      </c>
      <c r="AF122" s="119">
        <f t="shared" si="74"/>
        <v>0</v>
      </c>
      <c r="AG122" s="119">
        <f t="shared" si="75"/>
        <v>0</v>
      </c>
      <c r="AH122" s="119">
        <f t="shared" si="76"/>
        <v>0</v>
      </c>
      <c r="AI122" s="121">
        <f t="shared" si="77"/>
        <v>0</v>
      </c>
      <c r="AJ122" s="121" t="str">
        <f t="shared" si="88"/>
        <v>000</v>
      </c>
      <c r="AK122" s="121" t="str">
        <f t="shared" si="89"/>
        <v>000</v>
      </c>
      <c r="AL122" s="122"/>
      <c r="AM122" s="123" t="str">
        <f t="shared" si="78"/>
        <v>км 0+000 - км 0+000</v>
      </c>
      <c r="AN122" s="124" t="str">
        <f t="shared" si="90"/>
        <v/>
      </c>
      <c r="AO122" s="153" t="e">
        <f t="shared" si="91"/>
        <v>#VALUE!</v>
      </c>
      <c r="AP122" s="125">
        <f t="shared" si="79"/>
        <v>0</v>
      </c>
      <c r="AQ122" s="120">
        <f t="shared" si="80"/>
        <v>0</v>
      </c>
      <c r="AR122" s="126"/>
      <c r="AS122" s="127">
        <f t="shared" si="81"/>
        <v>0</v>
      </c>
      <c r="AT122" s="127">
        <f t="shared" si="82"/>
        <v>0</v>
      </c>
      <c r="AU122" s="128">
        <f t="shared" si="83"/>
        <v>0</v>
      </c>
      <c r="AV122" s="129">
        <f t="shared" si="84"/>
        <v>0</v>
      </c>
      <c r="AW122" s="129" t="str">
        <f t="shared" si="85"/>
        <v>-</v>
      </c>
      <c r="AX122" s="130"/>
      <c r="AY122" s="127" t="str">
        <f t="shared" si="92"/>
        <v>км 0+000 - км 0+000</v>
      </c>
      <c r="AZ122" s="129" t="str">
        <f t="shared" si="93"/>
        <v>-</v>
      </c>
      <c r="BA122" s="131">
        <f t="shared" si="94"/>
        <v>0.5</v>
      </c>
      <c r="BB122" s="130"/>
      <c r="BC122" s="130"/>
      <c r="BD122" s="128" t="str">
        <f t="shared" si="95"/>
        <v>км 0+000 - км 0+000</v>
      </c>
      <c r="BE122" s="131">
        <f t="shared" si="96"/>
        <v>0.5</v>
      </c>
      <c r="BF122" s="154" t="e">
        <f t="shared" ca="1" si="86"/>
        <v>#N/A</v>
      </c>
    </row>
    <row r="123" spans="1:58" ht="16.5" x14ac:dyDescent="0.25">
      <c r="A123" s="110">
        <f t="shared" si="71"/>
        <v>0</v>
      </c>
      <c r="B123" s="110"/>
      <c r="C123" s="111">
        <f t="shared" si="70"/>
        <v>0</v>
      </c>
      <c r="D123" s="155"/>
      <c r="E123" s="156"/>
      <c r="F123" s="156"/>
      <c r="G123" s="157"/>
      <c r="H123" s="157"/>
      <c r="I123" s="157"/>
      <c r="J123" s="157"/>
      <c r="K123" s="157"/>
      <c r="L123" s="157"/>
      <c r="M123" s="158"/>
      <c r="N123" s="159" t="str">
        <f>IFERROR(VLOOKUP($F123,Лист1!$A$4:$F$72,2,FALSE),"")</f>
        <v/>
      </c>
      <c r="O123" s="159" t="str">
        <f>IFERROR(VLOOKUP($G123,Лист1!$A$4:$F$72,2,FALSE),"")</f>
        <v/>
      </c>
      <c r="P123" s="160" t="str">
        <f>IFERROR(VLOOKUP($H123,Лист1!$A$4:$F$72,2,FALSE),"")</f>
        <v/>
      </c>
      <c r="Q123" s="160" t="str">
        <f>IFERROR(VLOOKUP($I123,Лист1!$A$4:$F$72,2,FALSE),"")</f>
        <v/>
      </c>
      <c r="R123" s="160" t="str">
        <f>IFERROR(VLOOKUP($J123,Лист1!$A$4:$F$72,2,FALSE),"")</f>
        <v/>
      </c>
      <c r="S123" s="160" t="str">
        <f>IFERROR(VLOOKUP($K123,Лист1!$A$4:$F$72,2,FALSE),"")</f>
        <v/>
      </c>
      <c r="T123" s="160" t="str">
        <f>IFERROR(VLOOKUP($L123,Лист1!$A$4:$F$72,2,FALSE),"")</f>
        <v/>
      </c>
      <c r="U123" s="160" t="str">
        <f t="shared" si="87"/>
        <v/>
      </c>
      <c r="V123" s="161" t="str">
        <f>IFERROR(VLOOKUP($F123,Лист1!$A$4:$F$72,3,FALSE),"")</f>
        <v/>
      </c>
      <c r="W123" s="162" t="str">
        <f>IFERROR(VLOOKUP($G123,Лист1!$A$4:$F$72,3,FALSE),"")</f>
        <v/>
      </c>
      <c r="X123" s="162" t="str">
        <f>IFERROR(VLOOKUP($H123,Лист1!$A$4:$F$72,3,FALSE),"")</f>
        <v/>
      </c>
      <c r="Y123" s="162" t="str">
        <f>IFERROR(VLOOKUP($I123,Лист1!$A$4:$F$72,3,FALSE),"")</f>
        <v/>
      </c>
      <c r="Z123" s="162" t="str">
        <f>IFERROR(VLOOKUP($J123,Лист1!$A$4:$F$72,3,FALSE),"")</f>
        <v/>
      </c>
      <c r="AA123" s="162" t="str">
        <f>IFERROR(VLOOKUP($K123,Лист1!$A$4:$F$72,3,FALSE),"")</f>
        <v/>
      </c>
      <c r="AB123" s="162" t="str">
        <f>IFERROR(VLOOKUP($L123,Лист1!$A$4:$F$72,3,FALSE),"")</f>
        <v/>
      </c>
      <c r="AC123" s="162" t="str">
        <f>IFERROR(VLOOKUP($M123,Лист1!$A$4:$F$72,3,FALSE),"")</f>
        <v/>
      </c>
      <c r="AD123" s="163">
        <f t="shared" si="72"/>
        <v>0</v>
      </c>
      <c r="AE123" s="164">
        <f t="shared" si="73"/>
        <v>0</v>
      </c>
      <c r="AF123" s="165">
        <f t="shared" si="74"/>
        <v>0</v>
      </c>
      <c r="AG123" s="165">
        <f t="shared" si="75"/>
        <v>0</v>
      </c>
      <c r="AH123" s="165">
        <f t="shared" si="76"/>
        <v>0</v>
      </c>
      <c r="AI123" s="166">
        <f t="shared" si="77"/>
        <v>0</v>
      </c>
      <c r="AJ123" s="166" t="str">
        <f t="shared" si="88"/>
        <v>000</v>
      </c>
      <c r="AK123" s="166" t="str">
        <f t="shared" si="89"/>
        <v>000</v>
      </c>
      <c r="AL123" s="167"/>
      <c r="AM123" s="168" t="str">
        <f t="shared" si="78"/>
        <v>км 0+000 - км 0+000</v>
      </c>
      <c r="AN123" s="169" t="str">
        <f t="shared" si="90"/>
        <v/>
      </c>
      <c r="AO123" s="170" t="e">
        <f t="shared" si="91"/>
        <v>#VALUE!</v>
      </c>
      <c r="AP123" s="171">
        <f t="shared" si="79"/>
        <v>0</v>
      </c>
      <c r="AQ123" s="172">
        <f t="shared" si="80"/>
        <v>0</v>
      </c>
      <c r="AR123" s="173"/>
      <c r="AS123" s="174">
        <f t="shared" si="81"/>
        <v>0</v>
      </c>
      <c r="AT123" s="174">
        <f t="shared" si="82"/>
        <v>0</v>
      </c>
      <c r="AU123" s="175">
        <f t="shared" si="83"/>
        <v>0</v>
      </c>
      <c r="AV123" s="176">
        <f t="shared" si="84"/>
        <v>0</v>
      </c>
      <c r="AW123" s="176" t="str">
        <f t="shared" si="85"/>
        <v>-</v>
      </c>
      <c r="AX123" s="177"/>
      <c r="AY123" s="178" t="str">
        <f t="shared" si="92"/>
        <v>км 0+000 - км 0+000</v>
      </c>
      <c r="AZ123" s="179" t="str">
        <f t="shared" si="93"/>
        <v>-</v>
      </c>
      <c r="BA123" s="180">
        <f t="shared" si="94"/>
        <v>0.5</v>
      </c>
      <c r="BB123" s="177"/>
      <c r="BC123" s="177"/>
      <c r="BD123" s="175" t="str">
        <f t="shared" si="95"/>
        <v>км 0+000 - км 0+000</v>
      </c>
      <c r="BE123" s="181">
        <f t="shared" si="96"/>
        <v>0.5</v>
      </c>
      <c r="BF123" s="182" t="e">
        <f t="shared" ca="1" si="86"/>
        <v>#N/A</v>
      </c>
    </row>
    <row r="124" spans="1:58" ht="16.5" x14ac:dyDescent="0.25">
      <c r="A124" s="110">
        <f t="shared" si="71"/>
        <v>0</v>
      </c>
      <c r="B124" s="110"/>
      <c r="C124" s="111">
        <f t="shared" si="70"/>
        <v>0</v>
      </c>
      <c r="D124" s="112"/>
      <c r="E124" s="113"/>
      <c r="F124" s="113"/>
      <c r="G124" s="113"/>
      <c r="H124" s="113"/>
      <c r="I124" s="113"/>
      <c r="J124" s="113"/>
      <c r="K124" s="113"/>
      <c r="L124" s="113"/>
      <c r="M124" s="114"/>
      <c r="N124" s="147" t="str">
        <f>IFERROR(VLOOKUP($F124,Лист1!$A$4:$F$72,2,FALSE),"")</f>
        <v/>
      </c>
      <c r="O124" s="147" t="str">
        <f>IFERROR(VLOOKUP($G124,Лист1!$A$4:$F$72,2,FALSE),"")</f>
        <v/>
      </c>
      <c r="P124" s="115" t="str">
        <f>IFERROR(VLOOKUP($H124,Лист1!$A$4:$F$72,2,FALSE),"")</f>
        <v/>
      </c>
      <c r="Q124" s="115" t="str">
        <f>IFERROR(VLOOKUP($I124,Лист1!$A$4:$F$72,2,FALSE),"")</f>
        <v/>
      </c>
      <c r="R124" s="115" t="str">
        <f>IFERROR(VLOOKUP($J124,Лист1!$A$4:$F$72,2,FALSE),"")</f>
        <v/>
      </c>
      <c r="S124" s="115" t="str">
        <f>IFERROR(VLOOKUP($K124,Лист1!$A$4:$F$72,2,FALSE),"")</f>
        <v/>
      </c>
      <c r="T124" s="115" t="str">
        <f>IFERROR(VLOOKUP($L124,Лист1!$A$4:$F$72,2,FALSE),"")</f>
        <v/>
      </c>
      <c r="U124" s="115" t="str">
        <f t="shared" si="87"/>
        <v/>
      </c>
      <c r="V124" s="148" t="str">
        <f>IFERROR(VLOOKUP($F124,Лист1!$A$4:$F$72,3,FALSE),"")</f>
        <v/>
      </c>
      <c r="W124" s="116" t="str">
        <f>IFERROR(VLOOKUP($G124,Лист1!$A$4:$F$72,3,FALSE),"")</f>
        <v/>
      </c>
      <c r="X124" s="116" t="str">
        <f>IFERROR(VLOOKUP($H124,Лист1!$A$4:$F$72,3,FALSE),"")</f>
        <v/>
      </c>
      <c r="Y124" s="116" t="str">
        <f>IFERROR(VLOOKUP($I124,Лист1!$A$4:$F$72,3,FALSE),"")</f>
        <v/>
      </c>
      <c r="Z124" s="116" t="str">
        <f>IFERROR(VLOOKUP($J124,Лист1!$A$4:$F$72,3,FALSE),"")</f>
        <v/>
      </c>
      <c r="AA124" s="116" t="str">
        <f>IFERROR(VLOOKUP($K124,Лист1!$A$4:$F$72,3,FALSE),"")</f>
        <v/>
      </c>
      <c r="AB124" s="116" t="str">
        <f>IFERROR(VLOOKUP($L124,Лист1!$A$4:$F$72,3,FALSE),"")</f>
        <v/>
      </c>
      <c r="AC124" s="116" t="str">
        <f>IFERROR(VLOOKUP($M124,Лист1!$A$4:$F$72,3,FALSE),"")</f>
        <v/>
      </c>
      <c r="AD124" s="152">
        <f t="shared" si="72"/>
        <v>0</v>
      </c>
      <c r="AE124" s="118">
        <f t="shared" si="73"/>
        <v>0</v>
      </c>
      <c r="AF124" s="119">
        <f t="shared" si="74"/>
        <v>0</v>
      </c>
      <c r="AG124" s="119">
        <f t="shared" si="75"/>
        <v>0</v>
      </c>
      <c r="AH124" s="119">
        <f t="shared" si="76"/>
        <v>0</v>
      </c>
      <c r="AI124" s="121">
        <f t="shared" si="77"/>
        <v>0</v>
      </c>
      <c r="AJ124" s="121" t="str">
        <f t="shared" si="88"/>
        <v>000</v>
      </c>
      <c r="AK124" s="121" t="str">
        <f t="shared" si="89"/>
        <v>000</v>
      </c>
      <c r="AL124" s="122"/>
      <c r="AM124" s="123" t="str">
        <f t="shared" si="78"/>
        <v>км 0+000 - км 0+000</v>
      </c>
      <c r="AN124" s="124" t="str">
        <f t="shared" si="90"/>
        <v/>
      </c>
      <c r="AO124" s="153" t="e">
        <f t="shared" si="91"/>
        <v>#VALUE!</v>
      </c>
      <c r="AP124" s="125">
        <f t="shared" si="79"/>
        <v>0</v>
      </c>
      <c r="AQ124" s="120">
        <f t="shared" si="80"/>
        <v>0</v>
      </c>
      <c r="AR124" s="126"/>
      <c r="AS124" s="127">
        <f t="shared" si="81"/>
        <v>0</v>
      </c>
      <c r="AT124" s="127">
        <f t="shared" si="82"/>
        <v>0</v>
      </c>
      <c r="AU124" s="128">
        <f t="shared" si="83"/>
        <v>0</v>
      </c>
      <c r="AV124" s="129">
        <f t="shared" si="84"/>
        <v>0</v>
      </c>
      <c r="AW124" s="129" t="str">
        <f t="shared" si="85"/>
        <v>-</v>
      </c>
      <c r="AX124" s="130"/>
      <c r="AY124" s="127" t="str">
        <f t="shared" si="92"/>
        <v>км 0+000 - км 0+000</v>
      </c>
      <c r="AZ124" s="129" t="str">
        <f t="shared" si="93"/>
        <v>-</v>
      </c>
      <c r="BA124" s="131">
        <f t="shared" si="94"/>
        <v>0.5</v>
      </c>
      <c r="BB124" s="130"/>
      <c r="BC124" s="130"/>
      <c r="BD124" s="128" t="str">
        <f t="shared" si="95"/>
        <v>км 0+000 - км 0+000</v>
      </c>
      <c r="BE124" s="131">
        <f t="shared" si="96"/>
        <v>0.5</v>
      </c>
      <c r="BF124" s="154" t="e">
        <f t="shared" ca="1" si="86"/>
        <v>#N/A</v>
      </c>
    </row>
    <row r="125" spans="1:58" ht="16.5" x14ac:dyDescent="0.25">
      <c r="A125" s="110">
        <f t="shared" si="71"/>
        <v>0</v>
      </c>
      <c r="B125" s="110"/>
      <c r="C125" s="111">
        <f t="shared" si="70"/>
        <v>0</v>
      </c>
      <c r="D125" s="155"/>
      <c r="E125" s="156"/>
      <c r="F125" s="156"/>
      <c r="G125" s="157"/>
      <c r="H125" s="157"/>
      <c r="I125" s="157"/>
      <c r="J125" s="157"/>
      <c r="K125" s="157"/>
      <c r="L125" s="157"/>
      <c r="M125" s="158"/>
      <c r="N125" s="159" t="str">
        <f>IFERROR(VLOOKUP($F125,Лист1!$A$4:$F$72,2,FALSE),"")</f>
        <v/>
      </c>
      <c r="O125" s="159" t="str">
        <f>IFERROR(VLOOKUP($G125,Лист1!$A$4:$F$72,2,FALSE),"")</f>
        <v/>
      </c>
      <c r="P125" s="160" t="str">
        <f>IFERROR(VLOOKUP($H125,Лист1!$A$4:$F$72,2,FALSE),"")</f>
        <v/>
      </c>
      <c r="Q125" s="160" t="str">
        <f>IFERROR(VLOOKUP($I125,Лист1!$A$4:$F$72,2,FALSE),"")</f>
        <v/>
      </c>
      <c r="R125" s="160" t="str">
        <f>IFERROR(VLOOKUP($J125,Лист1!$A$4:$F$72,2,FALSE),"")</f>
        <v/>
      </c>
      <c r="S125" s="160" t="str">
        <f>IFERROR(VLOOKUP($K125,Лист1!$A$4:$F$72,2,FALSE),"")</f>
        <v/>
      </c>
      <c r="T125" s="160" t="str">
        <f>IFERROR(VLOOKUP($L125,Лист1!$A$4:$F$72,2,FALSE),"")</f>
        <v/>
      </c>
      <c r="U125" s="160" t="str">
        <f t="shared" si="87"/>
        <v/>
      </c>
      <c r="V125" s="161" t="str">
        <f>IFERROR(VLOOKUP($F125,Лист1!$A$4:$F$72,3,FALSE),"")</f>
        <v/>
      </c>
      <c r="W125" s="162" t="str">
        <f>IFERROR(VLOOKUP($G125,Лист1!$A$4:$F$72,3,FALSE),"")</f>
        <v/>
      </c>
      <c r="X125" s="162" t="str">
        <f>IFERROR(VLOOKUP($H125,Лист1!$A$4:$F$72,3,FALSE),"")</f>
        <v/>
      </c>
      <c r="Y125" s="162" t="str">
        <f>IFERROR(VLOOKUP($I125,Лист1!$A$4:$F$72,3,FALSE),"")</f>
        <v/>
      </c>
      <c r="Z125" s="162" t="str">
        <f>IFERROR(VLOOKUP($J125,Лист1!$A$4:$F$72,3,FALSE),"")</f>
        <v/>
      </c>
      <c r="AA125" s="162" t="str">
        <f>IFERROR(VLOOKUP($K125,Лист1!$A$4:$F$72,3,FALSE),"")</f>
        <v/>
      </c>
      <c r="AB125" s="162" t="str">
        <f>IFERROR(VLOOKUP($L125,Лист1!$A$4:$F$72,3,FALSE),"")</f>
        <v/>
      </c>
      <c r="AC125" s="162" t="str">
        <f>IFERROR(VLOOKUP($M125,Лист1!$A$4:$F$72,3,FALSE),"")</f>
        <v/>
      </c>
      <c r="AD125" s="163">
        <f t="shared" si="72"/>
        <v>0</v>
      </c>
      <c r="AE125" s="164">
        <f t="shared" si="73"/>
        <v>0</v>
      </c>
      <c r="AF125" s="165">
        <f t="shared" si="74"/>
        <v>0</v>
      </c>
      <c r="AG125" s="165">
        <f t="shared" si="75"/>
        <v>0</v>
      </c>
      <c r="AH125" s="165">
        <f t="shared" si="76"/>
        <v>0</v>
      </c>
      <c r="AI125" s="166">
        <f t="shared" si="77"/>
        <v>0</v>
      </c>
      <c r="AJ125" s="166" t="str">
        <f t="shared" si="88"/>
        <v>000</v>
      </c>
      <c r="AK125" s="166" t="str">
        <f t="shared" si="89"/>
        <v>000</v>
      </c>
      <c r="AL125" s="167"/>
      <c r="AM125" s="168" t="str">
        <f t="shared" si="78"/>
        <v>км 0+000 - км 0+000</v>
      </c>
      <c r="AN125" s="169" t="str">
        <f t="shared" si="90"/>
        <v/>
      </c>
      <c r="AO125" s="170" t="e">
        <f t="shared" si="91"/>
        <v>#VALUE!</v>
      </c>
      <c r="AP125" s="171">
        <f t="shared" si="79"/>
        <v>0</v>
      </c>
      <c r="AQ125" s="172">
        <f t="shared" si="80"/>
        <v>0</v>
      </c>
      <c r="AR125" s="173"/>
      <c r="AS125" s="174">
        <f t="shared" si="81"/>
        <v>0</v>
      </c>
      <c r="AT125" s="174">
        <f t="shared" si="82"/>
        <v>0</v>
      </c>
      <c r="AU125" s="175">
        <f t="shared" si="83"/>
        <v>0</v>
      </c>
      <c r="AV125" s="176">
        <f t="shared" si="84"/>
        <v>0</v>
      </c>
      <c r="AW125" s="176" t="str">
        <f t="shared" si="85"/>
        <v>-</v>
      </c>
      <c r="AX125" s="177"/>
      <c r="AY125" s="178" t="str">
        <f t="shared" si="92"/>
        <v>км 0+000 - км 0+000</v>
      </c>
      <c r="AZ125" s="179" t="str">
        <f t="shared" si="93"/>
        <v>-</v>
      </c>
      <c r="BA125" s="180">
        <f t="shared" si="94"/>
        <v>0.5</v>
      </c>
      <c r="BB125" s="177"/>
      <c r="BC125" s="177"/>
      <c r="BD125" s="175" t="str">
        <f t="shared" si="95"/>
        <v>км 0+000 - км 0+000</v>
      </c>
      <c r="BE125" s="181">
        <f t="shared" si="96"/>
        <v>0.5</v>
      </c>
      <c r="BF125" s="182" t="e">
        <f t="shared" ca="1" si="86"/>
        <v>#N/A</v>
      </c>
    </row>
    <row r="126" spans="1:58" ht="16.5" x14ac:dyDescent="0.25">
      <c r="A126" s="110">
        <f t="shared" si="71"/>
        <v>0</v>
      </c>
      <c r="B126" s="110"/>
      <c r="C126" s="111">
        <f t="shared" si="70"/>
        <v>0</v>
      </c>
      <c r="D126" s="112"/>
      <c r="E126" s="113"/>
      <c r="F126" s="113"/>
      <c r="G126" s="113"/>
      <c r="H126" s="113"/>
      <c r="I126" s="113"/>
      <c r="J126" s="113"/>
      <c r="K126" s="113"/>
      <c r="L126" s="113"/>
      <c r="M126" s="114"/>
      <c r="N126" s="147" t="str">
        <f>IFERROR(VLOOKUP($F126,Лист1!$A$4:$F$72,2,FALSE),"")</f>
        <v/>
      </c>
      <c r="O126" s="147" t="str">
        <f>IFERROR(VLOOKUP($G126,Лист1!$A$4:$F$72,2,FALSE),"")</f>
        <v/>
      </c>
      <c r="P126" s="115" t="str">
        <f>IFERROR(VLOOKUP($H126,Лист1!$A$4:$F$72,2,FALSE),"")</f>
        <v/>
      </c>
      <c r="Q126" s="115" t="str">
        <f>IFERROR(VLOOKUP($I126,Лист1!$A$4:$F$72,2,FALSE),"")</f>
        <v/>
      </c>
      <c r="R126" s="115" t="str">
        <f>IFERROR(VLOOKUP($J126,Лист1!$A$4:$F$72,2,FALSE),"")</f>
        <v/>
      </c>
      <c r="S126" s="115" t="str">
        <f>IFERROR(VLOOKUP($K126,Лист1!$A$4:$F$72,2,FALSE),"")</f>
        <v/>
      </c>
      <c r="T126" s="115" t="str">
        <f>IFERROR(VLOOKUP($L126,Лист1!$A$4:$F$72,2,FALSE),"")</f>
        <v/>
      </c>
      <c r="U126" s="115" t="str">
        <f t="shared" si="87"/>
        <v/>
      </c>
      <c r="V126" s="148" t="str">
        <f>IFERROR(VLOOKUP($F126,Лист1!$A$4:$F$72,3,FALSE),"")</f>
        <v/>
      </c>
      <c r="W126" s="116" t="str">
        <f>IFERROR(VLOOKUP($G126,Лист1!$A$4:$F$72,3,FALSE),"")</f>
        <v/>
      </c>
      <c r="X126" s="116" t="str">
        <f>IFERROR(VLOOKUP($H126,Лист1!$A$4:$F$72,3,FALSE),"")</f>
        <v/>
      </c>
      <c r="Y126" s="116" t="str">
        <f>IFERROR(VLOOKUP($I126,Лист1!$A$4:$F$72,3,FALSE),"")</f>
        <v/>
      </c>
      <c r="Z126" s="116" t="str">
        <f>IFERROR(VLOOKUP($J126,Лист1!$A$4:$F$72,3,FALSE),"")</f>
        <v/>
      </c>
      <c r="AA126" s="116" t="str">
        <f>IFERROR(VLOOKUP($K126,Лист1!$A$4:$F$72,3,FALSE),"")</f>
        <v/>
      </c>
      <c r="AB126" s="116" t="str">
        <f>IFERROR(VLOOKUP($L126,Лист1!$A$4:$F$72,3,FALSE),"")</f>
        <v/>
      </c>
      <c r="AC126" s="116" t="str">
        <f>IFERROR(VLOOKUP($M126,Лист1!$A$4:$F$72,3,FALSE),"")</f>
        <v/>
      </c>
      <c r="AD126" s="152">
        <f t="shared" si="72"/>
        <v>0</v>
      </c>
      <c r="AE126" s="118">
        <f t="shared" si="73"/>
        <v>0</v>
      </c>
      <c r="AF126" s="119">
        <f t="shared" si="74"/>
        <v>0</v>
      </c>
      <c r="AG126" s="119">
        <f t="shared" si="75"/>
        <v>0</v>
      </c>
      <c r="AH126" s="119">
        <f t="shared" si="76"/>
        <v>0</v>
      </c>
      <c r="AI126" s="121">
        <f t="shared" si="77"/>
        <v>0</v>
      </c>
      <c r="AJ126" s="121" t="str">
        <f t="shared" si="88"/>
        <v>000</v>
      </c>
      <c r="AK126" s="121" t="str">
        <f t="shared" si="89"/>
        <v>000</v>
      </c>
      <c r="AL126" s="122"/>
      <c r="AM126" s="123" t="str">
        <f t="shared" si="78"/>
        <v>км 0+000 - км 0+000</v>
      </c>
      <c r="AN126" s="124" t="str">
        <f t="shared" si="90"/>
        <v/>
      </c>
      <c r="AO126" s="153" t="e">
        <f t="shared" si="91"/>
        <v>#VALUE!</v>
      </c>
      <c r="AP126" s="125">
        <f t="shared" si="79"/>
        <v>0</v>
      </c>
      <c r="AQ126" s="120">
        <f t="shared" si="80"/>
        <v>0</v>
      </c>
      <c r="AR126" s="126"/>
      <c r="AS126" s="127">
        <f t="shared" si="81"/>
        <v>0</v>
      </c>
      <c r="AT126" s="127">
        <f t="shared" si="82"/>
        <v>0</v>
      </c>
      <c r="AU126" s="128">
        <f t="shared" si="83"/>
        <v>0</v>
      </c>
      <c r="AV126" s="129">
        <f t="shared" si="84"/>
        <v>0</v>
      </c>
      <c r="AW126" s="129" t="str">
        <f t="shared" si="85"/>
        <v>-</v>
      </c>
      <c r="AX126" s="130"/>
      <c r="AY126" s="127" t="str">
        <f t="shared" si="92"/>
        <v>км 0+000 - км 0+000</v>
      </c>
      <c r="AZ126" s="129" t="str">
        <f t="shared" si="93"/>
        <v>-</v>
      </c>
      <c r="BA126" s="131">
        <f t="shared" si="94"/>
        <v>0.5</v>
      </c>
      <c r="BB126" s="130"/>
      <c r="BC126" s="130"/>
      <c r="BD126" s="128" t="str">
        <f t="shared" si="95"/>
        <v>км 0+000 - км 0+000</v>
      </c>
      <c r="BE126" s="131">
        <f t="shared" si="96"/>
        <v>0.5</v>
      </c>
      <c r="BF126" s="154" t="e">
        <f t="shared" ca="1" si="86"/>
        <v>#N/A</v>
      </c>
    </row>
    <row r="127" spans="1:58" ht="16.5" x14ac:dyDescent="0.25">
      <c r="A127" s="110">
        <f t="shared" si="71"/>
        <v>0</v>
      </c>
      <c r="B127" s="110"/>
      <c r="C127" s="111">
        <f t="shared" si="70"/>
        <v>0</v>
      </c>
      <c r="D127" s="155"/>
      <c r="E127" s="156"/>
      <c r="F127" s="156"/>
      <c r="G127" s="157"/>
      <c r="H127" s="157"/>
      <c r="I127" s="157"/>
      <c r="J127" s="157"/>
      <c r="K127" s="157"/>
      <c r="L127" s="157"/>
      <c r="M127" s="158"/>
      <c r="N127" s="159" t="str">
        <f>IFERROR(VLOOKUP($F127,Лист1!$A$4:$F$72,2,FALSE),"")</f>
        <v/>
      </c>
      <c r="O127" s="159" t="str">
        <f>IFERROR(VLOOKUP($G127,Лист1!$A$4:$F$72,2,FALSE),"")</f>
        <v/>
      </c>
      <c r="P127" s="160" t="str">
        <f>IFERROR(VLOOKUP($H127,Лист1!$A$4:$F$72,2,FALSE),"")</f>
        <v/>
      </c>
      <c r="Q127" s="160" t="str">
        <f>IFERROR(VLOOKUP($I127,Лист1!$A$4:$F$72,2,FALSE),"")</f>
        <v/>
      </c>
      <c r="R127" s="160" t="str">
        <f>IFERROR(VLOOKUP($J127,Лист1!$A$4:$F$72,2,FALSE),"")</f>
        <v/>
      </c>
      <c r="S127" s="160" t="str">
        <f>IFERROR(VLOOKUP($K127,Лист1!$A$4:$F$72,2,FALSE),"")</f>
        <v/>
      </c>
      <c r="T127" s="160" t="str">
        <f>IFERROR(VLOOKUP($L127,Лист1!$A$4:$F$72,2,FALSE),"")</f>
        <v/>
      </c>
      <c r="U127" s="160" t="str">
        <f t="shared" si="87"/>
        <v/>
      </c>
      <c r="V127" s="161" t="str">
        <f>IFERROR(VLOOKUP($F127,Лист1!$A$4:$F$72,3,FALSE),"")</f>
        <v/>
      </c>
      <c r="W127" s="162" t="str">
        <f>IFERROR(VLOOKUP($G127,Лист1!$A$4:$F$72,3,FALSE),"")</f>
        <v/>
      </c>
      <c r="X127" s="162" t="str">
        <f>IFERROR(VLOOKUP($H127,Лист1!$A$4:$F$72,3,FALSE),"")</f>
        <v/>
      </c>
      <c r="Y127" s="162" t="str">
        <f>IFERROR(VLOOKUP($I127,Лист1!$A$4:$F$72,3,FALSE),"")</f>
        <v/>
      </c>
      <c r="Z127" s="162" t="str">
        <f>IFERROR(VLOOKUP($J127,Лист1!$A$4:$F$72,3,FALSE),"")</f>
        <v/>
      </c>
      <c r="AA127" s="162" t="str">
        <f>IFERROR(VLOOKUP($K127,Лист1!$A$4:$F$72,3,FALSE),"")</f>
        <v/>
      </c>
      <c r="AB127" s="162" t="str">
        <f>IFERROR(VLOOKUP($L127,Лист1!$A$4:$F$72,3,FALSE),"")</f>
        <v/>
      </c>
      <c r="AC127" s="162" t="str">
        <f>IFERROR(VLOOKUP($M127,Лист1!$A$4:$F$72,3,FALSE),"")</f>
        <v/>
      </c>
      <c r="AD127" s="163">
        <f t="shared" si="72"/>
        <v>0</v>
      </c>
      <c r="AE127" s="164">
        <f t="shared" si="73"/>
        <v>0</v>
      </c>
      <c r="AF127" s="165">
        <f t="shared" si="74"/>
        <v>0</v>
      </c>
      <c r="AG127" s="165">
        <f t="shared" si="75"/>
        <v>0</v>
      </c>
      <c r="AH127" s="165">
        <f t="shared" si="76"/>
        <v>0</v>
      </c>
      <c r="AI127" s="166">
        <f t="shared" si="77"/>
        <v>0</v>
      </c>
      <c r="AJ127" s="166" t="str">
        <f t="shared" si="88"/>
        <v>000</v>
      </c>
      <c r="AK127" s="166" t="str">
        <f t="shared" si="89"/>
        <v>000</v>
      </c>
      <c r="AL127" s="167"/>
      <c r="AM127" s="168" t="str">
        <f t="shared" si="78"/>
        <v>км 0+000 - км 0+000</v>
      </c>
      <c r="AN127" s="169" t="str">
        <f t="shared" si="90"/>
        <v/>
      </c>
      <c r="AO127" s="170" t="e">
        <f t="shared" si="91"/>
        <v>#VALUE!</v>
      </c>
      <c r="AP127" s="171">
        <f t="shared" si="79"/>
        <v>0</v>
      </c>
      <c r="AQ127" s="172">
        <f t="shared" si="80"/>
        <v>0</v>
      </c>
      <c r="AR127" s="173"/>
      <c r="AS127" s="174">
        <f t="shared" si="81"/>
        <v>0</v>
      </c>
      <c r="AT127" s="174">
        <f t="shared" si="82"/>
        <v>0</v>
      </c>
      <c r="AU127" s="175">
        <f t="shared" si="83"/>
        <v>0</v>
      </c>
      <c r="AV127" s="176">
        <f t="shared" si="84"/>
        <v>0</v>
      </c>
      <c r="AW127" s="176" t="str">
        <f t="shared" si="85"/>
        <v>-</v>
      </c>
      <c r="AX127" s="177"/>
      <c r="AY127" s="178" t="str">
        <f t="shared" si="92"/>
        <v>км 0+000 - км 0+000</v>
      </c>
      <c r="AZ127" s="179" t="str">
        <f t="shared" si="93"/>
        <v>-</v>
      </c>
      <c r="BA127" s="180">
        <f t="shared" si="94"/>
        <v>0.5</v>
      </c>
      <c r="BB127" s="177"/>
      <c r="BC127" s="177"/>
      <c r="BD127" s="175" t="str">
        <f t="shared" si="95"/>
        <v>км 0+000 - км 0+000</v>
      </c>
      <c r="BE127" s="181">
        <f t="shared" si="96"/>
        <v>0.5</v>
      </c>
      <c r="BF127" s="182" t="e">
        <f t="shared" ca="1" si="86"/>
        <v>#N/A</v>
      </c>
    </row>
    <row r="128" spans="1:58" ht="16.5" x14ac:dyDescent="0.25">
      <c r="A128" s="110">
        <f t="shared" si="71"/>
        <v>0</v>
      </c>
      <c r="B128" s="110"/>
      <c r="C128" s="111">
        <f t="shared" si="70"/>
        <v>0</v>
      </c>
      <c r="D128" s="112"/>
      <c r="E128" s="113"/>
      <c r="F128" s="113"/>
      <c r="G128" s="113"/>
      <c r="H128" s="113"/>
      <c r="I128" s="113"/>
      <c r="J128" s="113"/>
      <c r="K128" s="113"/>
      <c r="L128" s="113"/>
      <c r="M128" s="114"/>
      <c r="N128" s="147" t="str">
        <f>IFERROR(VLOOKUP($F128,Лист1!$A$4:$F$72,2,FALSE),"")</f>
        <v/>
      </c>
      <c r="O128" s="147" t="str">
        <f>IFERROR(VLOOKUP($G128,Лист1!$A$4:$F$72,2,FALSE),"")</f>
        <v/>
      </c>
      <c r="P128" s="115" t="str">
        <f>IFERROR(VLOOKUP($H128,Лист1!$A$4:$F$72,2,FALSE),"")</f>
        <v/>
      </c>
      <c r="Q128" s="115" t="str">
        <f>IFERROR(VLOOKUP($I128,Лист1!$A$4:$F$72,2,FALSE),"")</f>
        <v/>
      </c>
      <c r="R128" s="115" t="str">
        <f>IFERROR(VLOOKUP($J128,Лист1!$A$4:$F$72,2,FALSE),"")</f>
        <v/>
      </c>
      <c r="S128" s="115" t="str">
        <f>IFERROR(VLOOKUP($K128,Лист1!$A$4:$F$72,2,FALSE),"")</f>
        <v/>
      </c>
      <c r="T128" s="115" t="str">
        <f>IFERROR(VLOOKUP($L128,Лист1!$A$4:$F$72,2,FALSE),"")</f>
        <v/>
      </c>
      <c r="U128" s="115" t="str">
        <f t="shared" si="87"/>
        <v/>
      </c>
      <c r="V128" s="148" t="str">
        <f>IFERROR(VLOOKUP($F128,Лист1!$A$4:$F$72,3,FALSE),"")</f>
        <v/>
      </c>
      <c r="W128" s="116" t="str">
        <f>IFERROR(VLOOKUP($G128,Лист1!$A$4:$F$72,3,FALSE),"")</f>
        <v/>
      </c>
      <c r="X128" s="116" t="str">
        <f>IFERROR(VLOOKUP($H128,Лист1!$A$4:$F$72,3,FALSE),"")</f>
        <v/>
      </c>
      <c r="Y128" s="116" t="str">
        <f>IFERROR(VLOOKUP($I128,Лист1!$A$4:$F$72,3,FALSE),"")</f>
        <v/>
      </c>
      <c r="Z128" s="116" t="str">
        <f>IFERROR(VLOOKUP($J128,Лист1!$A$4:$F$72,3,FALSE),"")</f>
        <v/>
      </c>
      <c r="AA128" s="116" t="str">
        <f>IFERROR(VLOOKUP($K128,Лист1!$A$4:$F$72,3,FALSE),"")</f>
        <v/>
      </c>
      <c r="AB128" s="116" t="str">
        <f>IFERROR(VLOOKUP($L128,Лист1!$A$4:$F$72,3,FALSE),"")</f>
        <v/>
      </c>
      <c r="AC128" s="116" t="str">
        <f>IFERROR(VLOOKUP($M128,Лист1!$A$4:$F$72,3,FALSE),"")</f>
        <v/>
      </c>
      <c r="AD128" s="152">
        <f t="shared" si="72"/>
        <v>0</v>
      </c>
      <c r="AE128" s="118">
        <f t="shared" si="73"/>
        <v>0</v>
      </c>
      <c r="AF128" s="119">
        <f t="shared" si="74"/>
        <v>0</v>
      </c>
      <c r="AG128" s="119">
        <f t="shared" si="75"/>
        <v>0</v>
      </c>
      <c r="AH128" s="119">
        <f t="shared" si="76"/>
        <v>0</v>
      </c>
      <c r="AI128" s="121">
        <f t="shared" si="77"/>
        <v>0</v>
      </c>
      <c r="AJ128" s="121" t="str">
        <f t="shared" si="88"/>
        <v>000</v>
      </c>
      <c r="AK128" s="121" t="str">
        <f t="shared" si="89"/>
        <v>000</v>
      </c>
      <c r="AL128" s="122"/>
      <c r="AM128" s="123" t="str">
        <f t="shared" si="78"/>
        <v>км 0+000 - км 0+000</v>
      </c>
      <c r="AN128" s="124" t="str">
        <f t="shared" si="90"/>
        <v/>
      </c>
      <c r="AO128" s="153" t="e">
        <f t="shared" si="91"/>
        <v>#VALUE!</v>
      </c>
      <c r="AP128" s="125">
        <f t="shared" si="79"/>
        <v>0</v>
      </c>
      <c r="AQ128" s="120">
        <f t="shared" si="80"/>
        <v>0</v>
      </c>
      <c r="AR128" s="126"/>
      <c r="AS128" s="127">
        <f t="shared" si="81"/>
        <v>0</v>
      </c>
      <c r="AT128" s="127">
        <f t="shared" si="82"/>
        <v>0</v>
      </c>
      <c r="AU128" s="128">
        <f t="shared" si="83"/>
        <v>0</v>
      </c>
      <c r="AV128" s="129">
        <f t="shared" si="84"/>
        <v>0</v>
      </c>
      <c r="AW128" s="129" t="str">
        <f t="shared" si="85"/>
        <v>-</v>
      </c>
      <c r="AX128" s="130"/>
      <c r="AY128" s="127" t="str">
        <f t="shared" si="92"/>
        <v>км 0+000 - км 0+000</v>
      </c>
      <c r="AZ128" s="129" t="str">
        <f t="shared" si="93"/>
        <v>-</v>
      </c>
      <c r="BA128" s="131">
        <f t="shared" si="94"/>
        <v>0.5</v>
      </c>
      <c r="BB128" s="130"/>
      <c r="BC128" s="130"/>
      <c r="BD128" s="128" t="str">
        <f t="shared" si="95"/>
        <v>км 0+000 - км 0+000</v>
      </c>
      <c r="BE128" s="131">
        <f t="shared" si="96"/>
        <v>0.5</v>
      </c>
      <c r="BF128" s="154" t="e">
        <f t="shared" ca="1" si="86"/>
        <v>#N/A</v>
      </c>
    </row>
    <row r="129" spans="1:58" ht="16.5" x14ac:dyDescent="0.25">
      <c r="A129" s="110">
        <f t="shared" si="71"/>
        <v>0</v>
      </c>
      <c r="B129" s="110"/>
      <c r="C129" s="111">
        <f t="shared" si="70"/>
        <v>0</v>
      </c>
      <c r="D129" s="155"/>
      <c r="E129" s="156"/>
      <c r="F129" s="156"/>
      <c r="G129" s="157"/>
      <c r="H129" s="157"/>
      <c r="I129" s="157"/>
      <c r="J129" s="157"/>
      <c r="K129" s="157"/>
      <c r="L129" s="157"/>
      <c r="M129" s="158"/>
      <c r="N129" s="159" t="str">
        <f>IFERROR(VLOOKUP($F129,Лист1!$A$4:$F$72,2,FALSE),"")</f>
        <v/>
      </c>
      <c r="O129" s="159" t="str">
        <f>IFERROR(VLOOKUP($G129,Лист1!$A$4:$F$72,2,FALSE),"")</f>
        <v/>
      </c>
      <c r="P129" s="160" t="str">
        <f>IFERROR(VLOOKUP($H129,Лист1!$A$4:$F$72,2,FALSE),"")</f>
        <v/>
      </c>
      <c r="Q129" s="160" t="str">
        <f>IFERROR(VLOOKUP($I129,Лист1!$A$4:$F$72,2,FALSE),"")</f>
        <v/>
      </c>
      <c r="R129" s="160" t="str">
        <f>IFERROR(VLOOKUP($J129,Лист1!$A$4:$F$72,2,FALSE),"")</f>
        <v/>
      </c>
      <c r="S129" s="160" t="str">
        <f>IFERROR(VLOOKUP($K129,Лист1!$A$4:$F$72,2,FALSE),"")</f>
        <v/>
      </c>
      <c r="T129" s="160" t="str">
        <f>IFERROR(VLOOKUP($L129,Лист1!$A$4:$F$72,2,FALSE),"")</f>
        <v/>
      </c>
      <c r="U129" s="160" t="str">
        <f t="shared" si="87"/>
        <v/>
      </c>
      <c r="V129" s="161" t="str">
        <f>IFERROR(VLOOKUP($F129,Лист1!$A$4:$F$72,3,FALSE),"")</f>
        <v/>
      </c>
      <c r="W129" s="162" t="str">
        <f>IFERROR(VLOOKUP($G129,Лист1!$A$4:$F$72,3,FALSE),"")</f>
        <v/>
      </c>
      <c r="X129" s="162" t="str">
        <f>IFERROR(VLOOKUP($H129,Лист1!$A$4:$F$72,3,FALSE),"")</f>
        <v/>
      </c>
      <c r="Y129" s="162" t="str">
        <f>IFERROR(VLOOKUP($I129,Лист1!$A$4:$F$72,3,FALSE),"")</f>
        <v/>
      </c>
      <c r="Z129" s="162" t="str">
        <f>IFERROR(VLOOKUP($J129,Лист1!$A$4:$F$72,3,FALSE),"")</f>
        <v/>
      </c>
      <c r="AA129" s="162" t="str">
        <f>IFERROR(VLOOKUP($K129,Лист1!$A$4:$F$72,3,FALSE),"")</f>
        <v/>
      </c>
      <c r="AB129" s="162" t="str">
        <f>IFERROR(VLOOKUP($L129,Лист1!$A$4:$F$72,3,FALSE),"")</f>
        <v/>
      </c>
      <c r="AC129" s="162" t="str">
        <f>IFERROR(VLOOKUP($M129,Лист1!$A$4:$F$72,3,FALSE),"")</f>
        <v/>
      </c>
      <c r="AD129" s="163">
        <f t="shared" si="72"/>
        <v>0</v>
      </c>
      <c r="AE129" s="164">
        <f t="shared" si="73"/>
        <v>0</v>
      </c>
      <c r="AF129" s="165">
        <f t="shared" si="74"/>
        <v>0</v>
      </c>
      <c r="AG129" s="165">
        <f t="shared" si="75"/>
        <v>0</v>
      </c>
      <c r="AH129" s="165">
        <f t="shared" si="76"/>
        <v>0</v>
      </c>
      <c r="AI129" s="166">
        <f t="shared" si="77"/>
        <v>0</v>
      </c>
      <c r="AJ129" s="166" t="str">
        <f t="shared" si="88"/>
        <v>000</v>
      </c>
      <c r="AK129" s="166" t="str">
        <f t="shared" si="89"/>
        <v>000</v>
      </c>
      <c r="AL129" s="167"/>
      <c r="AM129" s="168" t="str">
        <f t="shared" si="78"/>
        <v>км 0+000 - км 0+000</v>
      </c>
      <c r="AN129" s="169" t="str">
        <f t="shared" si="90"/>
        <v/>
      </c>
      <c r="AO129" s="170" t="e">
        <f t="shared" si="91"/>
        <v>#VALUE!</v>
      </c>
      <c r="AP129" s="171">
        <f t="shared" si="79"/>
        <v>0</v>
      </c>
      <c r="AQ129" s="172">
        <f t="shared" si="80"/>
        <v>0</v>
      </c>
      <c r="AR129" s="173"/>
      <c r="AS129" s="174">
        <f t="shared" si="81"/>
        <v>0</v>
      </c>
      <c r="AT129" s="174">
        <f t="shared" si="82"/>
        <v>0</v>
      </c>
      <c r="AU129" s="175">
        <f t="shared" si="83"/>
        <v>0</v>
      </c>
      <c r="AV129" s="176">
        <f t="shared" si="84"/>
        <v>0</v>
      </c>
      <c r="AW129" s="176" t="str">
        <f t="shared" si="85"/>
        <v>-</v>
      </c>
      <c r="AX129" s="177"/>
      <c r="AY129" s="178" t="str">
        <f t="shared" si="92"/>
        <v>км 0+000 - км 0+000</v>
      </c>
      <c r="AZ129" s="179" t="str">
        <f t="shared" si="93"/>
        <v>-</v>
      </c>
      <c r="BA129" s="180">
        <f t="shared" si="94"/>
        <v>0.5</v>
      </c>
      <c r="BB129" s="177"/>
      <c r="BC129" s="177"/>
      <c r="BD129" s="175" t="str">
        <f t="shared" si="95"/>
        <v>км 0+000 - км 0+000</v>
      </c>
      <c r="BE129" s="181">
        <f t="shared" si="96"/>
        <v>0.5</v>
      </c>
      <c r="BF129" s="182" t="e">
        <f t="shared" ca="1" si="86"/>
        <v>#N/A</v>
      </c>
    </row>
    <row r="130" spans="1:58" ht="16.5" x14ac:dyDescent="0.25">
      <c r="A130" s="110">
        <f t="shared" si="71"/>
        <v>0</v>
      </c>
      <c r="B130" s="110"/>
      <c r="C130" s="111">
        <f t="shared" si="70"/>
        <v>0</v>
      </c>
      <c r="D130" s="112"/>
      <c r="E130" s="113"/>
      <c r="F130" s="113"/>
      <c r="G130" s="113"/>
      <c r="H130" s="113"/>
      <c r="I130" s="113"/>
      <c r="J130" s="113"/>
      <c r="K130" s="113"/>
      <c r="L130" s="113"/>
      <c r="M130" s="114"/>
      <c r="N130" s="147" t="str">
        <f>IFERROR(VLOOKUP($F130,Лист1!$A$4:$F$72,2,FALSE),"")</f>
        <v/>
      </c>
      <c r="O130" s="147" t="str">
        <f>IFERROR(VLOOKUP($G130,Лист1!$A$4:$F$72,2,FALSE),"")</f>
        <v/>
      </c>
      <c r="P130" s="115" t="str">
        <f>IFERROR(VLOOKUP($H130,Лист1!$A$4:$F$72,2,FALSE),"")</f>
        <v/>
      </c>
      <c r="Q130" s="115" t="str">
        <f>IFERROR(VLOOKUP($I130,Лист1!$A$4:$F$72,2,FALSE),"")</f>
        <v/>
      </c>
      <c r="R130" s="115" t="str">
        <f>IFERROR(VLOOKUP($J130,Лист1!$A$4:$F$72,2,FALSE),"")</f>
        <v/>
      </c>
      <c r="S130" s="115" t="str">
        <f>IFERROR(VLOOKUP($K130,Лист1!$A$4:$F$72,2,FALSE),"")</f>
        <v/>
      </c>
      <c r="T130" s="115" t="str">
        <f>IFERROR(VLOOKUP($L130,Лист1!$A$4:$F$72,2,FALSE),"")</f>
        <v/>
      </c>
      <c r="U130" s="115" t="str">
        <f t="shared" si="87"/>
        <v/>
      </c>
      <c r="V130" s="148" t="str">
        <f>IFERROR(VLOOKUP($F130,Лист1!$A$4:$F$72,3,FALSE),"")</f>
        <v/>
      </c>
      <c r="W130" s="116" t="str">
        <f>IFERROR(VLOOKUP($G130,Лист1!$A$4:$F$72,3,FALSE),"")</f>
        <v/>
      </c>
      <c r="X130" s="116" t="str">
        <f>IFERROR(VLOOKUP($H130,Лист1!$A$4:$F$72,3,FALSE),"")</f>
        <v/>
      </c>
      <c r="Y130" s="116" t="str">
        <f>IFERROR(VLOOKUP($I130,Лист1!$A$4:$F$72,3,FALSE),"")</f>
        <v/>
      </c>
      <c r="Z130" s="116" t="str">
        <f>IFERROR(VLOOKUP($J130,Лист1!$A$4:$F$72,3,FALSE),"")</f>
        <v/>
      </c>
      <c r="AA130" s="116" t="str">
        <f>IFERROR(VLOOKUP($K130,Лист1!$A$4:$F$72,3,FALSE),"")</f>
        <v/>
      </c>
      <c r="AB130" s="116" t="str">
        <f>IFERROR(VLOOKUP($L130,Лист1!$A$4:$F$72,3,FALSE),"")</f>
        <v/>
      </c>
      <c r="AC130" s="116" t="str">
        <f>IFERROR(VLOOKUP($M130,Лист1!$A$4:$F$72,3,FALSE),"")</f>
        <v/>
      </c>
      <c r="AD130" s="152">
        <f t="shared" si="72"/>
        <v>0</v>
      </c>
      <c r="AE130" s="118">
        <f t="shared" si="73"/>
        <v>0</v>
      </c>
      <c r="AF130" s="119">
        <f t="shared" si="74"/>
        <v>0</v>
      </c>
      <c r="AG130" s="119">
        <f t="shared" si="75"/>
        <v>0</v>
      </c>
      <c r="AH130" s="119">
        <f t="shared" si="76"/>
        <v>0</v>
      </c>
      <c r="AI130" s="121">
        <f t="shared" si="77"/>
        <v>0</v>
      </c>
      <c r="AJ130" s="121" t="str">
        <f t="shared" si="88"/>
        <v>000</v>
      </c>
      <c r="AK130" s="121" t="str">
        <f t="shared" si="89"/>
        <v>000</v>
      </c>
      <c r="AL130" s="122"/>
      <c r="AM130" s="123" t="str">
        <f t="shared" si="78"/>
        <v>км 0+000 - км 0+000</v>
      </c>
      <c r="AN130" s="124" t="str">
        <f t="shared" si="90"/>
        <v/>
      </c>
      <c r="AO130" s="153" t="e">
        <f t="shared" si="91"/>
        <v>#VALUE!</v>
      </c>
      <c r="AP130" s="125">
        <f t="shared" si="79"/>
        <v>0</v>
      </c>
      <c r="AQ130" s="120">
        <f t="shared" si="80"/>
        <v>0</v>
      </c>
      <c r="AR130" s="126"/>
      <c r="AS130" s="127">
        <f t="shared" si="81"/>
        <v>0</v>
      </c>
      <c r="AT130" s="127">
        <f t="shared" si="82"/>
        <v>0</v>
      </c>
      <c r="AU130" s="128">
        <f t="shared" si="83"/>
        <v>0</v>
      </c>
      <c r="AV130" s="129">
        <f t="shared" si="84"/>
        <v>0</v>
      </c>
      <c r="AW130" s="129" t="str">
        <f t="shared" si="85"/>
        <v>-</v>
      </c>
      <c r="AX130" s="130"/>
      <c r="AY130" s="127" t="str">
        <f t="shared" si="92"/>
        <v>км 0+000 - км 0+000</v>
      </c>
      <c r="AZ130" s="129" t="str">
        <f t="shared" si="93"/>
        <v>-</v>
      </c>
      <c r="BA130" s="131">
        <f t="shared" si="94"/>
        <v>0.5</v>
      </c>
      <c r="BB130" s="130"/>
      <c r="BC130" s="130"/>
      <c r="BD130" s="128" t="str">
        <f t="shared" si="95"/>
        <v>км 0+000 - км 0+000</v>
      </c>
      <c r="BE130" s="131">
        <f t="shared" si="96"/>
        <v>0.5</v>
      </c>
      <c r="BF130" s="154" t="e">
        <f t="shared" ca="1" si="86"/>
        <v>#N/A</v>
      </c>
    </row>
    <row r="131" spans="1:58" ht="16.5" x14ac:dyDescent="0.25">
      <c r="A131" s="110">
        <f t="shared" si="71"/>
        <v>0</v>
      </c>
      <c r="B131" s="110"/>
      <c r="C131" s="111">
        <f t="shared" si="70"/>
        <v>0</v>
      </c>
      <c r="D131" s="155"/>
      <c r="E131" s="156"/>
      <c r="F131" s="156"/>
      <c r="G131" s="157"/>
      <c r="H131" s="157"/>
      <c r="I131" s="157"/>
      <c r="J131" s="157"/>
      <c r="K131" s="157"/>
      <c r="L131" s="157"/>
      <c r="M131" s="158"/>
      <c r="N131" s="159" t="str">
        <f>IFERROR(VLOOKUP($F131,Лист1!$A$4:$F$72,2,FALSE),"")</f>
        <v/>
      </c>
      <c r="O131" s="159" t="str">
        <f>IFERROR(VLOOKUP($G131,Лист1!$A$4:$F$72,2,FALSE),"")</f>
        <v/>
      </c>
      <c r="P131" s="160" t="str">
        <f>IFERROR(VLOOKUP($H131,Лист1!$A$4:$F$72,2,FALSE),"")</f>
        <v/>
      </c>
      <c r="Q131" s="160" t="str">
        <f>IFERROR(VLOOKUP($I131,Лист1!$A$4:$F$72,2,FALSE),"")</f>
        <v/>
      </c>
      <c r="R131" s="160" t="str">
        <f>IFERROR(VLOOKUP($J131,Лист1!$A$4:$F$72,2,FALSE),"")</f>
        <v/>
      </c>
      <c r="S131" s="160" t="str">
        <f>IFERROR(VLOOKUP($K131,Лист1!$A$4:$F$72,2,FALSE),"")</f>
        <v/>
      </c>
      <c r="T131" s="160" t="str">
        <f>IFERROR(VLOOKUP($L131,Лист1!$A$4:$F$72,2,FALSE),"")</f>
        <v/>
      </c>
      <c r="U131" s="160" t="str">
        <f t="shared" si="87"/>
        <v/>
      </c>
      <c r="V131" s="161" t="str">
        <f>IFERROR(VLOOKUP($F131,Лист1!$A$4:$F$72,3,FALSE),"")</f>
        <v/>
      </c>
      <c r="W131" s="162" t="str">
        <f>IFERROR(VLOOKUP($G131,Лист1!$A$4:$F$72,3,FALSE),"")</f>
        <v/>
      </c>
      <c r="X131" s="162" t="str">
        <f>IFERROR(VLOOKUP($H131,Лист1!$A$4:$F$72,3,FALSE),"")</f>
        <v/>
      </c>
      <c r="Y131" s="162" t="str">
        <f>IFERROR(VLOOKUP($I131,Лист1!$A$4:$F$72,3,FALSE),"")</f>
        <v/>
      </c>
      <c r="Z131" s="162" t="str">
        <f>IFERROR(VLOOKUP($J131,Лист1!$A$4:$F$72,3,FALSE),"")</f>
        <v/>
      </c>
      <c r="AA131" s="162" t="str">
        <f>IFERROR(VLOOKUP($K131,Лист1!$A$4:$F$72,3,FALSE),"")</f>
        <v/>
      </c>
      <c r="AB131" s="162" t="str">
        <f>IFERROR(VLOOKUP($L131,Лист1!$A$4:$F$72,3,FALSE),"")</f>
        <v/>
      </c>
      <c r="AC131" s="162" t="str">
        <f>IFERROR(VLOOKUP($M131,Лист1!$A$4:$F$72,3,FALSE),"")</f>
        <v/>
      </c>
      <c r="AD131" s="163">
        <f t="shared" si="72"/>
        <v>0</v>
      </c>
      <c r="AE131" s="164">
        <f t="shared" si="73"/>
        <v>0</v>
      </c>
      <c r="AF131" s="165">
        <f t="shared" si="74"/>
        <v>0</v>
      </c>
      <c r="AG131" s="165">
        <f t="shared" si="75"/>
        <v>0</v>
      </c>
      <c r="AH131" s="165">
        <f t="shared" si="76"/>
        <v>0</v>
      </c>
      <c r="AI131" s="166">
        <f t="shared" si="77"/>
        <v>0</v>
      </c>
      <c r="AJ131" s="166" t="str">
        <f t="shared" si="88"/>
        <v>000</v>
      </c>
      <c r="AK131" s="166" t="str">
        <f t="shared" si="89"/>
        <v>000</v>
      </c>
      <c r="AL131" s="167"/>
      <c r="AM131" s="168" t="str">
        <f t="shared" si="78"/>
        <v>км 0+000 - км 0+000</v>
      </c>
      <c r="AN131" s="169" t="str">
        <f t="shared" si="90"/>
        <v/>
      </c>
      <c r="AO131" s="170" t="e">
        <f t="shared" si="91"/>
        <v>#VALUE!</v>
      </c>
      <c r="AP131" s="171">
        <f t="shared" si="79"/>
        <v>0</v>
      </c>
      <c r="AQ131" s="172">
        <f t="shared" si="80"/>
        <v>0</v>
      </c>
      <c r="AR131" s="173"/>
      <c r="AS131" s="174">
        <f t="shared" si="81"/>
        <v>0</v>
      </c>
      <c r="AT131" s="174">
        <f t="shared" si="82"/>
        <v>0</v>
      </c>
      <c r="AU131" s="175">
        <f t="shared" si="83"/>
        <v>0</v>
      </c>
      <c r="AV131" s="176">
        <f t="shared" si="84"/>
        <v>0</v>
      </c>
      <c r="AW131" s="176" t="str">
        <f t="shared" si="85"/>
        <v>-</v>
      </c>
      <c r="AX131" s="177"/>
      <c r="AY131" s="178" t="str">
        <f t="shared" si="92"/>
        <v>км 0+000 - км 0+000</v>
      </c>
      <c r="AZ131" s="179" t="str">
        <f t="shared" si="93"/>
        <v>-</v>
      </c>
      <c r="BA131" s="180">
        <f t="shared" si="94"/>
        <v>0.5</v>
      </c>
      <c r="BB131" s="177"/>
      <c r="BC131" s="177"/>
      <c r="BD131" s="175" t="str">
        <f t="shared" si="95"/>
        <v>км 0+000 - км 0+000</v>
      </c>
      <c r="BE131" s="181">
        <f t="shared" si="96"/>
        <v>0.5</v>
      </c>
      <c r="BF131" s="182" t="e">
        <f t="shared" ca="1" si="86"/>
        <v>#N/A</v>
      </c>
    </row>
  </sheetData>
  <dataConsolidate/>
  <mergeCells count="16">
    <mergeCell ref="D6:E6"/>
    <mergeCell ref="AM6:AO7"/>
    <mergeCell ref="D7:E7"/>
    <mergeCell ref="AM2:AO4"/>
    <mergeCell ref="C4:D4"/>
    <mergeCell ref="G4:J4"/>
    <mergeCell ref="K4:L4"/>
    <mergeCell ref="C5:D5"/>
    <mergeCell ref="C2:D2"/>
    <mergeCell ref="G2:J2"/>
    <mergeCell ref="K2:L2"/>
    <mergeCell ref="C3:D3"/>
    <mergeCell ref="G3:J3"/>
    <mergeCell ref="K3:L3"/>
    <mergeCell ref="G5:J5"/>
    <mergeCell ref="K5:L5"/>
  </mergeCells>
  <dataValidations count="2">
    <dataValidation type="list" allowBlank="1" showInputMessage="1" showErrorMessage="1" sqref="E2">
      <formula1>"капитальная,облегченная"</formula1>
    </dataValidation>
    <dataValidation type="list" allowBlank="1" showInputMessage="1" showErrorMessage="1" sqref="B3">
      <formula1>"дорога,улица,подъезд"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ИД</vt:lpstr>
      <vt:lpstr>В обсл</vt:lpstr>
      <vt:lpstr>аб1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Наташенька</dc:creator>
  <cp:lastModifiedBy>Алексей Кривошапкин</cp:lastModifiedBy>
  <dcterms:created xsi:type="dcterms:W3CDTF">2016-06-06T18:18:21Z</dcterms:created>
  <dcterms:modified xsi:type="dcterms:W3CDTF">2026-03-18T14:39:53Z</dcterms:modified>
</cp:coreProperties>
</file>